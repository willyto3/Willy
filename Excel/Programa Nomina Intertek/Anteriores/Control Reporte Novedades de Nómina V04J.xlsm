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C4F764CD-0799-4400-86C5-F3CBC4877405}" xr6:coauthVersionLast="44" xr6:coauthVersionMax="44" xr10:uidLastSave="{00000000-0000-0000-0000-000000000000}"/>
  <bookViews>
    <workbookView xWindow="-120" yWindow="-120" windowWidth="20730" windowHeight="11160" firstSheet="2" activeTab="7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Polania Ardila" sheetId="30" r:id="rId7"/>
    <sheet name="perez" sheetId="31" r:id="rId8"/>
  </sheets>
  <definedNames>
    <definedName name="_xlnm._FilterDatabase" localSheetId="5" hidden="1">'BD Personal'!$A$5:$R$5</definedName>
    <definedName name="_xlnm._FilterDatabase" localSheetId="7" hidden="1">perez!$A$13:$U$42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_FilterDatabase" localSheetId="6" hidden="1">'Polania Ardila'!$A$13:$U$42</definedName>
    <definedName name="_xlnm.Print_Area" localSheetId="7">perez!$A$1:$R$78</definedName>
    <definedName name="_xlnm.Print_Area" localSheetId="0">Plantilla!$A$1:$R$78</definedName>
    <definedName name="_xlnm.Print_Area" localSheetId="1">PlantillaProasem!$A$1:$R$78</definedName>
    <definedName name="_xlnm.Print_Area" localSheetId="6">'Polania Ardila'!$A$1:$R$78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7" hidden="1">perez!$B$12:$Q$45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FilterData" localSheetId="6" hidden="1">'Polania Ardila'!$B$12:$Q$45</definedName>
    <definedName name="Z_3D6B2C87_FCE4_4060_8610_9A17B3623F4E_.wvu.PrintArea" localSheetId="7" hidden="1">perez!$A$1:$Q$57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  <definedName name="Z_3D6B2C87_FCE4_4060_8610_9A17B3623F4E_.wvu.PrintArea" localSheetId="6" hidden="1">'Polania Ardila'!$A$1:$Q$57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7" i="31" l="1"/>
  <c r="B66" i="31"/>
  <c r="B65" i="31"/>
  <c r="B64" i="31"/>
  <c r="B63" i="31"/>
  <c r="B62" i="31"/>
  <c r="B61" i="31"/>
  <c r="B60" i="31"/>
  <c r="O45" i="31"/>
  <c r="O56" i="31" s="1"/>
  <c r="E67" i="31" s="1"/>
  <c r="F67" i="31" s="1"/>
  <c r="N45" i="31"/>
  <c r="N56" i="31" s="1"/>
  <c r="E66" i="31" s="1"/>
  <c r="F66" i="31" s="1"/>
  <c r="M45" i="31"/>
  <c r="M56" i="31" s="1"/>
  <c r="E65" i="31" s="1"/>
  <c r="F65" i="31" s="1"/>
  <c r="L45" i="31"/>
  <c r="L56" i="31" s="1"/>
  <c r="E64" i="31" s="1"/>
  <c r="F64" i="31" s="1"/>
  <c r="K45" i="31"/>
  <c r="K56" i="31" s="1"/>
  <c r="E63" i="31" s="1"/>
  <c r="F63" i="31" s="1"/>
  <c r="J45" i="31"/>
  <c r="J56" i="31" s="1"/>
  <c r="E62" i="31" s="1"/>
  <c r="F62" i="31" s="1"/>
  <c r="I45" i="31"/>
  <c r="I56" i="31" s="1"/>
  <c r="E61" i="31" s="1"/>
  <c r="F61" i="31" s="1"/>
  <c r="H45" i="31"/>
  <c r="H56" i="31" s="1"/>
  <c r="E60" i="31" s="1"/>
  <c r="F60" i="31" s="1"/>
  <c r="B14" i="31"/>
  <c r="B15" i="31" s="1"/>
  <c r="K11" i="31"/>
  <c r="E11" i="31"/>
  <c r="P10" i="31"/>
  <c r="K10" i="31"/>
  <c r="E10" i="31"/>
  <c r="K9" i="31"/>
  <c r="E9" i="31"/>
  <c r="P8" i="31"/>
  <c r="K8" i="31"/>
  <c r="P7" i="31"/>
  <c r="K7" i="31"/>
  <c r="E7" i="31"/>
  <c r="P1" i="31"/>
  <c r="F69" i="31" l="1"/>
  <c r="B16" i="31"/>
  <c r="C15" i="31"/>
  <c r="C14" i="31"/>
  <c r="B67" i="30"/>
  <c r="B66" i="30"/>
  <c r="B65" i="30"/>
  <c r="B64" i="30"/>
  <c r="B63" i="30"/>
  <c r="B62" i="30"/>
  <c r="B61" i="30"/>
  <c r="B60" i="30"/>
  <c r="O45" i="30"/>
  <c r="O56" i="30" s="1"/>
  <c r="E67" i="30" s="1"/>
  <c r="F67" i="30" s="1"/>
  <c r="N45" i="30"/>
  <c r="N56" i="30" s="1"/>
  <c r="E66" i="30" s="1"/>
  <c r="F66" i="30" s="1"/>
  <c r="M45" i="30"/>
  <c r="M56" i="30" s="1"/>
  <c r="E65" i="30" s="1"/>
  <c r="F65" i="30" s="1"/>
  <c r="L45" i="30"/>
  <c r="L56" i="30" s="1"/>
  <c r="E64" i="30" s="1"/>
  <c r="F64" i="30" s="1"/>
  <c r="K45" i="30"/>
  <c r="K56" i="30" s="1"/>
  <c r="E63" i="30" s="1"/>
  <c r="F63" i="30" s="1"/>
  <c r="J45" i="30"/>
  <c r="J56" i="30" s="1"/>
  <c r="E62" i="30" s="1"/>
  <c r="F62" i="30" s="1"/>
  <c r="I45" i="30"/>
  <c r="I56" i="30" s="1"/>
  <c r="E61" i="30" s="1"/>
  <c r="F61" i="30" s="1"/>
  <c r="H45" i="30"/>
  <c r="H56" i="30" s="1"/>
  <c r="E60" i="30" s="1"/>
  <c r="F60" i="30" s="1"/>
  <c r="C15" i="30"/>
  <c r="B15" i="30"/>
  <c r="B16" i="30" s="1"/>
  <c r="C14" i="30"/>
  <c r="B14" i="30"/>
  <c r="K11" i="30"/>
  <c r="E11" i="30"/>
  <c r="P10" i="30"/>
  <c r="K10" i="30"/>
  <c r="E10" i="30"/>
  <c r="K9" i="30"/>
  <c r="E9" i="30"/>
  <c r="P8" i="30"/>
  <c r="K8" i="30"/>
  <c r="P7" i="30"/>
  <c r="K7" i="30"/>
  <c r="E7" i="30"/>
  <c r="P1" i="30"/>
  <c r="B17" i="31" l="1"/>
  <c r="C16" i="31"/>
  <c r="F69" i="30"/>
  <c r="B17" i="30"/>
  <c r="C16" i="30"/>
  <c r="F8" i="1"/>
  <c r="C17" i="31" l="1"/>
  <c r="B18" i="31"/>
  <c r="B18" i="30"/>
  <c r="C17" i="30"/>
  <c r="G8" i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K11" i="26"/>
  <c r="E11" i="26"/>
  <c r="P10" i="26"/>
  <c r="K10" i="26"/>
  <c r="E10" i="26"/>
  <c r="K9" i="26"/>
  <c r="E9" i="26"/>
  <c r="P8" i="26"/>
  <c r="K8" i="26"/>
  <c r="P7" i="26"/>
  <c r="K7" i="26"/>
  <c r="E7" i="26"/>
  <c r="P1" i="26"/>
  <c r="B19" i="31" l="1"/>
  <c r="C18" i="31"/>
  <c r="B19" i="30"/>
  <c r="C18" i="30"/>
  <c r="F69" i="26"/>
  <c r="C24" i="23"/>
  <c r="C23" i="23"/>
  <c r="B20" i="31" l="1"/>
  <c r="C19" i="31"/>
  <c r="B20" i="30"/>
  <c r="C19" i="30"/>
  <c r="L50" i="23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L23" i="23"/>
  <c r="S21" i="23"/>
  <c r="N19" i="23"/>
  <c r="M19" i="23"/>
  <c r="G20" i="23"/>
  <c r="I24" i="23"/>
  <c r="J23" i="23"/>
  <c r="J21" i="23"/>
  <c r="H19" i="23"/>
  <c r="S22" i="23"/>
  <c r="G24" i="23"/>
  <c r="L22" i="23"/>
  <c r="N21" i="23"/>
  <c r="H23" i="23"/>
  <c r="H20" i="23"/>
  <c r="J24" i="23"/>
  <c r="G22" i="23"/>
  <c r="K20" i="23"/>
  <c r="L19" i="23"/>
  <c r="L24" i="23"/>
  <c r="H24" i="23"/>
  <c r="J22" i="23"/>
  <c r="L20" i="23"/>
  <c r="I21" i="23"/>
  <c r="N24" i="23"/>
  <c r="M22" i="23"/>
  <c r="M24" i="23"/>
  <c r="I22" i="23"/>
  <c r="S20" i="23"/>
  <c r="J19" i="23"/>
  <c r="I23" i="23"/>
  <c r="K23" i="23"/>
  <c r="N22" i="23"/>
  <c r="N20" i="23"/>
  <c r="S19" i="23"/>
  <c r="G23" i="23"/>
  <c r="K22" i="23"/>
  <c r="M20" i="23"/>
  <c r="S23" i="23"/>
  <c r="G21" i="23"/>
  <c r="I20" i="23"/>
  <c r="I19" i="23"/>
  <c r="M21" i="23"/>
  <c r="M23" i="23"/>
  <c r="K21" i="23"/>
  <c r="G19" i="23"/>
  <c r="K24" i="23"/>
  <c r="N23" i="23"/>
  <c r="H21" i="23"/>
  <c r="K19" i="23"/>
  <c r="J20" i="23"/>
  <c r="H22" i="23"/>
  <c r="L21" i="23"/>
  <c r="M18" i="23"/>
  <c r="K12" i="23"/>
  <c r="S17" i="23"/>
  <c r="S12" i="23"/>
  <c r="G17" i="23"/>
  <c r="L15" i="23"/>
  <c r="J11" i="23"/>
  <c r="K14" i="23"/>
  <c r="I18" i="23"/>
  <c r="M14" i="23"/>
  <c r="I17" i="23"/>
  <c r="N13" i="23"/>
  <c r="G18" i="23"/>
  <c r="K13" i="23"/>
  <c r="J18" i="23"/>
  <c r="L18" i="23"/>
  <c r="I12" i="23"/>
  <c r="G11" i="23"/>
  <c r="G16" i="23"/>
  <c r="J12" i="23"/>
  <c r="S15" i="23"/>
  <c r="N12" i="23"/>
  <c r="S11" i="23"/>
  <c r="I11" i="23"/>
  <c r="H14" i="23"/>
  <c r="I14" i="23"/>
  <c r="M16" i="23"/>
  <c r="L12" i="23"/>
  <c r="I15" i="23"/>
  <c r="H11" i="23"/>
  <c r="M11" i="23"/>
  <c r="N18" i="23"/>
  <c r="S18" i="23"/>
  <c r="S16" i="23"/>
  <c r="N16" i="23"/>
  <c r="N11" i="23"/>
  <c r="G15" i="23"/>
  <c r="N14" i="23"/>
  <c r="G12" i="23"/>
  <c r="H13" i="23"/>
  <c r="M15" i="23"/>
  <c r="K15" i="23"/>
  <c r="K11" i="23"/>
  <c r="L14" i="23"/>
  <c r="J17" i="23"/>
  <c r="H12" i="23"/>
  <c r="K17" i="23"/>
  <c r="L17" i="23"/>
  <c r="M12" i="23"/>
  <c r="I13" i="23"/>
  <c r="L16" i="23"/>
  <c r="M13" i="23"/>
  <c r="H18" i="23"/>
  <c r="J14" i="23"/>
  <c r="M17" i="23"/>
  <c r="H17" i="23"/>
  <c r="L13" i="23"/>
  <c r="G14" i="23"/>
  <c r="J13" i="23"/>
  <c r="K18" i="23"/>
  <c r="K16" i="23"/>
  <c r="J16" i="23"/>
  <c r="I16" i="23"/>
  <c r="S13" i="23"/>
  <c r="N15" i="23"/>
  <c r="S14" i="23"/>
  <c r="H16" i="23"/>
  <c r="L11" i="23"/>
  <c r="J15" i="23"/>
  <c r="H15" i="23"/>
  <c r="G13" i="23"/>
  <c r="N17" i="23"/>
  <c r="S9" i="23"/>
  <c r="B21" i="31" l="1"/>
  <c r="C20" i="31"/>
  <c r="B21" i="30"/>
  <c r="C20" i="30"/>
  <c r="P1" i="10"/>
  <c r="C21" i="31" l="1"/>
  <c r="B22" i="31"/>
  <c r="B22" i="30"/>
  <c r="C21" i="30"/>
  <c r="F10" i="23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K10" i="23"/>
  <c r="N10" i="23"/>
  <c r="G10" i="23"/>
  <c r="M10" i="23"/>
  <c r="H10" i="23"/>
  <c r="J10" i="23"/>
  <c r="K9" i="23"/>
  <c r="I9" i="23"/>
  <c r="L9" i="23"/>
  <c r="N9" i="23"/>
  <c r="L10" i="23"/>
  <c r="G9" i="23"/>
  <c r="H9" i="23"/>
  <c r="M9" i="23"/>
  <c r="J9" i="23"/>
  <c r="S10" i="23"/>
  <c r="I10" i="23"/>
  <c r="B23" i="31" l="1"/>
  <c r="C22" i="31"/>
  <c r="B23" i="30"/>
  <c r="C22" i="30"/>
  <c r="K11" i="10"/>
  <c r="D5" i="23" s="1"/>
  <c r="B24" i="31" l="1"/>
  <c r="C23" i="31"/>
  <c r="B24" i="30"/>
  <c r="C23" i="30"/>
  <c r="H45" i="10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B25" i="31" l="1"/>
  <c r="C24" i="31"/>
  <c r="B25" i="30"/>
  <c r="C24" i="30"/>
  <c r="F69" i="10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C25" i="31" l="1"/>
  <c r="B26" i="31"/>
  <c r="B26" i="30"/>
  <c r="C25" i="30"/>
  <c r="B14" i="26"/>
  <c r="B15" i="26" s="1"/>
  <c r="B14" i="10"/>
  <c r="C14" i="10" s="1"/>
  <c r="F6" i="1"/>
  <c r="B27" i="31" l="1"/>
  <c r="C26" i="31"/>
  <c r="B27" i="30"/>
  <c r="C26" i="30"/>
  <c r="C14" i="26"/>
  <c r="B16" i="26"/>
  <c r="C15" i="26"/>
  <c r="B15" i="10"/>
  <c r="B16" i="10" s="1"/>
  <c r="H8" i="1"/>
  <c r="B28" i="31" l="1"/>
  <c r="C27" i="31"/>
  <c r="B28" i="30"/>
  <c r="C27" i="30"/>
  <c r="B17" i="26"/>
  <c r="C16" i="26"/>
  <c r="C15" i="10"/>
  <c r="B17" i="10"/>
  <c r="C16" i="10"/>
  <c r="I8" i="1"/>
  <c r="G6" i="1"/>
  <c r="B29" i="31" l="1"/>
  <c r="C28" i="31"/>
  <c r="B29" i="30"/>
  <c r="C28" i="30"/>
  <c r="C17" i="26"/>
  <c r="B18" i="26"/>
  <c r="B18" i="10"/>
  <c r="C17" i="10"/>
  <c r="J8" i="1"/>
  <c r="H6" i="1"/>
  <c r="C29" i="31" l="1"/>
  <c r="B30" i="31"/>
  <c r="B30" i="30"/>
  <c r="C29" i="30"/>
  <c r="B19" i="26"/>
  <c r="C18" i="26"/>
  <c r="B19" i="10"/>
  <c r="C18" i="10"/>
  <c r="K8" i="1"/>
  <c r="I6" i="1"/>
  <c r="B31" i="31" l="1"/>
  <c r="C30" i="31"/>
  <c r="B31" i="30"/>
  <c r="C30" i="30"/>
  <c r="B20" i="26"/>
  <c r="C19" i="26"/>
  <c r="B20" i="10"/>
  <c r="C19" i="10"/>
  <c r="L8" i="1"/>
  <c r="J6" i="1"/>
  <c r="B32" i="31" l="1"/>
  <c r="C31" i="31"/>
  <c r="B32" i="30"/>
  <c r="C31" i="30"/>
  <c r="B21" i="26"/>
  <c r="C20" i="26"/>
  <c r="B21" i="10"/>
  <c r="C20" i="10"/>
  <c r="M8" i="1"/>
  <c r="K6" i="1"/>
  <c r="B33" i="31" l="1"/>
  <c r="C32" i="31"/>
  <c r="B33" i="30"/>
  <c r="C32" i="30"/>
  <c r="C21" i="26"/>
  <c r="B22" i="26"/>
  <c r="B22" i="10"/>
  <c r="C21" i="10"/>
  <c r="N8" i="1"/>
  <c r="L6" i="1"/>
  <c r="C33" i="31" l="1"/>
  <c r="B34" i="31"/>
  <c r="B34" i="30"/>
  <c r="C33" i="30"/>
  <c r="B23" i="26"/>
  <c r="C22" i="26"/>
  <c r="B23" i="10"/>
  <c r="C22" i="10"/>
  <c r="O8" i="1"/>
  <c r="M6" i="1"/>
  <c r="B35" i="31" l="1"/>
  <c r="C34" i="31"/>
  <c r="B35" i="30"/>
  <c r="C34" i="30"/>
  <c r="C23" i="26"/>
  <c r="B24" i="26"/>
  <c r="B24" i="10"/>
  <c r="C23" i="10"/>
  <c r="P8" i="1"/>
  <c r="N6" i="1"/>
  <c r="B36" i="31" l="1"/>
  <c r="C35" i="31"/>
  <c r="B36" i="30"/>
  <c r="C35" i="30"/>
  <c r="B25" i="26"/>
  <c r="C24" i="26"/>
  <c r="B25" i="10"/>
  <c r="C24" i="10"/>
  <c r="Q8" i="1"/>
  <c r="O6" i="1"/>
  <c r="B37" i="31" l="1"/>
  <c r="C36" i="31"/>
  <c r="B37" i="30"/>
  <c r="C36" i="30"/>
  <c r="B26" i="26"/>
  <c r="C25" i="26"/>
  <c r="B26" i="10"/>
  <c r="C25" i="10"/>
  <c r="R8" i="1"/>
  <c r="P6" i="1"/>
  <c r="C37" i="31" l="1"/>
  <c r="B38" i="31"/>
  <c r="B38" i="30"/>
  <c r="C37" i="30"/>
  <c r="B27" i="26"/>
  <c r="C26" i="26"/>
  <c r="B27" i="10"/>
  <c r="C26" i="10"/>
  <c r="S8" i="1"/>
  <c r="Q6" i="1"/>
  <c r="B39" i="31" l="1"/>
  <c r="C38" i="31"/>
  <c r="B39" i="30"/>
  <c r="C38" i="30"/>
  <c r="C27" i="26"/>
  <c r="B28" i="26"/>
  <c r="B28" i="10"/>
  <c r="C27" i="10"/>
  <c r="T8" i="1"/>
  <c r="R6" i="1"/>
  <c r="B40" i="31" l="1"/>
  <c r="C39" i="31"/>
  <c r="B40" i="30"/>
  <c r="C39" i="30"/>
  <c r="B29" i="26"/>
  <c r="C28" i="26"/>
  <c r="B29" i="10"/>
  <c r="C28" i="10"/>
  <c r="U8" i="1"/>
  <c r="S6" i="1"/>
  <c r="B41" i="31" l="1"/>
  <c r="C40" i="31"/>
  <c r="B41" i="30"/>
  <c r="C40" i="30"/>
  <c r="C29" i="26"/>
  <c r="B30" i="26"/>
  <c r="B30" i="10"/>
  <c r="C29" i="10"/>
  <c r="V8" i="1"/>
  <c r="T6" i="1"/>
  <c r="C41" i="31" l="1"/>
  <c r="B42" i="31"/>
  <c r="B42" i="30"/>
  <c r="C41" i="30"/>
  <c r="B31" i="26"/>
  <c r="C30" i="26"/>
  <c r="B31" i="10"/>
  <c r="C30" i="10"/>
  <c r="W8" i="1"/>
  <c r="U6" i="1"/>
  <c r="B43" i="31" l="1"/>
  <c r="C42" i="31"/>
  <c r="B43" i="30"/>
  <c r="C42" i="30"/>
  <c r="B32" i="26"/>
  <c r="C31" i="26"/>
  <c r="B32" i="10"/>
  <c r="C31" i="10"/>
  <c r="X8" i="1"/>
  <c r="V6" i="1"/>
  <c r="C43" i="31" l="1"/>
  <c r="B44" i="31"/>
  <c r="C44" i="31" s="1"/>
  <c r="B44" i="30"/>
  <c r="C44" i="30" s="1"/>
  <c r="C43" i="30"/>
  <c r="B33" i="26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<sst xmlns="http://schemas.openxmlformats.org/spreadsheetml/2006/main" count="864" uniqueCount="300">
  <si>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</si>
  <si>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</si>
  <si>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</si>
  <si>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</si>
  <si>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</si>
  <si>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</si>
  <si>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</si>
  <si>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</si>
  <si>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</si>
  <si>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</si>
  <si>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</si>
  <si>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</si>
  <si>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</si>
  <si>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</si>
  <si>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</si>
  <si>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</si>
  <si>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</si>
  <si>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</si>
  <si>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</si>
  <si>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</si>
  <si>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</si>
  <si>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</si>
  <si>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</si>
  <si>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</si>
  <si>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</si>
  <si>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</si>
  <si>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</si>
  <si>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</si>
  <si>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</si>
  <si>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</si>
  <si>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</si>
  <si>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</si>
  <si>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</si>
  <si>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</si>
  <si>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</si>
  <si>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</si>
  <si>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</si>
  <si>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</si>
  <si>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</si>
  <si>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</si>
  <si>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</si>
  <si>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</si>
  <si>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</si>
  <si>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</si>
  <si>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</si>
  <si>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</si>
  <si>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</si>
  <si>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</si>
  <si>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</si>
  <si>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</si>
  <si>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</si>
  <si>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</si>
  <si>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</si>
  <si>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</si>
  <si>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</si>
  <si>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</si>
  <si>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</si>
  <si>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</si>
  <si>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</si>
  <si>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</si>
  <si>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</si>
  <si>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</si>
  <si>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</si>
  <si>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</si>
  <si>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</si>
  <si>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</si>
  <si>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</si>
  <si>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</si>
  <si>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</si>
  <si>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</si>
  <si>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</si>
  <si>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</si>
  <si>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</si>
  <si>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</si>
  <si>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</si>
  <si>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</si>
  <si>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</si>
  <si>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</si>
  <si>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</si>
  <si>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</si>
  <si>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</si>
  <si>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</si>
  <si>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</si>
  <si>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</si>
  <si>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</si>
  <si>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</si>
  <si>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</si>
  <si>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</si>
  <si>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</si>
  <si>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</si>
  <si>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</si>
  <si>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</si>
  <si>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</si>
  <si>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</si>
  <si>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</si>
  <si>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</si>
  <si>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</si>
  <si>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</si>
  <si>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</si>
  <si>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</si>
  <si>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</si>
  <si>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</si>
  <si>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</si>
  <si>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</si>
  <si>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</si>
  <si>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</si>
  <si>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</si>
  <si>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</si>
  <si>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</si>
  <si>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</si>
  <si>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</si>
  <si>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</si>
  <si>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</si>
  <si>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</si>
  <si>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</si>
  <si>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</si>
  <si>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</si>
  <si>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</si>
  <si>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</si>
  <si>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</si>
  <si>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</si>
  <si>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</si>
  <si>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</si>
  <si>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</si>
  <si>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</si>
  <si>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</si>
  <si>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</si>
  <si>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</si>
  <si>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</si>
  <si>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</si>
  <si>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</si>
  <si>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</si>
  <si>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</si>
  <si>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</si>
  <si>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</si>
  <si>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</si>
  <si>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</si>
  <si>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</si>
  <si>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</si>
  <si>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</si>
  <si>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</si>
  <si>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</si>
  <si>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</si>
  <si>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</si>
  <si>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</si>
  <si>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</si>
  <si>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</si>
  <si>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</si>
  <si>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</si>
  <si>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</si>
  <si>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</si>
  <si>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</si>
  <si>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</si>
  <si>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</si>
  <si>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</si>
  <si>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</si>
  <si>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</si>
  <si>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</si>
  <si>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</si>
  <si>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</si>
  <si>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</si>
  <si>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</si>
  <si>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</si>
  <si>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</si>
  <si>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</si>
  <si>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</si>
  <si>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</si>
  <si>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</si>
  <si>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</si>
  <si>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</si>
  <si>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</si>
  <si>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</si>
  <si>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</si>
  <si>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</si>
  <si>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</si>
  <si>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</si>
  <si>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</si>
  <si>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pp</t>
  </si>
  <si>
    <t>Puerto Gaitan</t>
  </si>
  <si>
    <t>Inspector</t>
  </si>
  <si>
    <t>Faiver Yovany</t>
  </si>
  <si>
    <t>Polania Ardila</t>
  </si>
  <si>
    <t>Tauramena</t>
  </si>
  <si>
    <t>18/02/2020</t>
  </si>
  <si>
    <t>f</t>
  </si>
  <si>
    <t>Oscar Javier</t>
  </si>
  <si>
    <t>Guzman Castro</t>
  </si>
  <si>
    <t>3156958721</t>
  </si>
  <si>
    <t>2020/01/01</t>
  </si>
  <si>
    <t>888</t>
  </si>
  <si>
    <t>Joc Gliman</t>
  </si>
  <si>
    <t>Carrasco Torres</t>
  </si>
  <si>
    <t>Diagonal 5 Bis 20 A - 43</t>
  </si>
  <si>
    <t>Villavicencio - Meta</t>
  </si>
  <si>
    <t>21/05/1980</t>
  </si>
  <si>
    <t>df</t>
  </si>
  <si>
    <t>Juan Pablo</t>
  </si>
  <si>
    <t>Garcia</t>
  </si>
  <si>
    <t>Sarvena</t>
  </si>
  <si>
    <t>Saravena - Arauca</t>
  </si>
  <si>
    <t>Diana</t>
  </si>
  <si>
    <t>Esteban</t>
  </si>
  <si>
    <t>Saravena</t>
  </si>
  <si>
    <t>Sarvena - Arauca</t>
  </si>
  <si>
    <t>Carlos Arturo</t>
  </si>
  <si>
    <t>Contreras</t>
  </si>
  <si>
    <t>18/09/1992</t>
  </si>
  <si>
    <t>18/12/2018</t>
  </si>
  <si>
    <t>Daniel Jose</t>
  </si>
  <si>
    <t>Rivero Perez</t>
  </si>
  <si>
    <t>16/11/2017</t>
  </si>
  <si>
    <t>Jorge Mario</t>
  </si>
  <si>
    <t>De La Ossa</t>
  </si>
  <si>
    <t>29/11/1983</t>
  </si>
  <si>
    <t>Angel Antonio</t>
  </si>
  <si>
    <t>Hurtado Martinez</t>
  </si>
  <si>
    <t>15/06/1984</t>
  </si>
  <si>
    <t>15/08/2018</t>
  </si>
  <si>
    <t>Auxiliar de Inspección</t>
  </si>
  <si>
    <t>Juan Carlos</t>
  </si>
  <si>
    <t>San Julian</t>
  </si>
  <si>
    <t>Juan Felipe</t>
  </si>
  <si>
    <t>Morelo Sanchez</t>
  </si>
  <si>
    <t>Gustavo Rafael</t>
  </si>
  <si>
    <t>Zuluaga Vargas</t>
  </si>
  <si>
    <t>William Enrique</t>
  </si>
  <si>
    <t>Echeverria Galezo</t>
  </si>
  <si>
    <t>Calle 4A N 14 - 94 Manzana A Casa 2B</t>
  </si>
  <si>
    <t>16/01/2020</t>
  </si>
  <si>
    <t>Mauricio</t>
  </si>
  <si>
    <t>Atencia Atencio</t>
  </si>
  <si>
    <t>28/01/1982</t>
  </si>
  <si>
    <t>Jaime Andres</t>
  </si>
  <si>
    <t>Hernandez</t>
  </si>
  <si>
    <t>25/03/1980</t>
  </si>
  <si>
    <t>18/07/2017</t>
  </si>
  <si>
    <t>Luis Eduardo</t>
  </si>
  <si>
    <t>Dussan Sanchez</t>
  </si>
  <si>
    <t>19/07/1976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</si>
  <si>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</si>
  <si>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</si>
  <si>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</si>
  <si>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</si>
  <si>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</si>
  <si>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</si>
  <si>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</si>
  <si>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</si>
  <si>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</si>
  <si>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</si>
  <si>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</si>
  <si>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</si>
  <si>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</si>
  <si>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</si>
  <si>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</si>
  <si>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</si>
  <si>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</si>
  <si>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</si>
  <si>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</si>
  <si>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</si>
  <si>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</si>
  <si>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</si>
  <si>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</si>
  <si>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</si>
  <si>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</si>
  <si>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</si>
  <si>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</si>
  <si>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</si>
  <si>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</si>
  <si>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</si>
  <si>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23/07/2018</t>
  </si>
  <si>
    <t>Blanca Miriam</t>
  </si>
  <si>
    <t>Morales Mendez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</si>
  <si>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</si>
  <si>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</si>
  <si>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</si>
  <si>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</si>
  <si>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</si>
  <si>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</si>
  <si>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</si>
  <si>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</si>
  <si>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</si>
  <si>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</si>
  <si>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</si>
  <si>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</si>
  <si>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</si>
  <si>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</si>
  <si>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</si>
  <si>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18/02/1970</t>
  </si>
  <si>
    <t>Finanzas</t>
  </si>
  <si>
    <t>pollo</t>
  </si>
  <si>
    <t>perez</t>
  </si>
  <si>
    <t>ddf</t>
  </si>
  <si>
    <t>ffddd</t>
  </si>
  <si>
    <t>3103458977</t>
  </si>
  <si>
    <t>01/06/2000</t>
  </si>
  <si>
    <t>iii</t>
  </si>
  <si>
    <t>04/06/2020</t>
  </si>
  <si>
    <t>$1.800.000,00</t>
  </si>
  <si>
    <t>1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</si>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</sst>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42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14" fontId="0" fillId="0" borderId="26" xfId="0" applyNumberFormat="1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42" fontId="0" fillId="0" borderId="26" xfId="5" applyFont="1" applyBorder="1" applyAlignment="1">
      <alignment horizontal="right"/>
    </xf>
    <xf numFmtId="7" fontId="0" fillId="0" borderId="26" xfId="5" applyNumberFormat="1" applyFont="1" applyBorder="1" applyAlignment="1">
      <alignment horizontal="right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20" fontId="31" fillId="0" borderId="5" xfId="1" applyNumberFormat="1" applyFont="1" applyBorder="1" applyAlignment="1" applyProtection="1">
      <alignment horizontal="center" vertical="center"/>
      <protection hidden="1"/>
    </xf>
    <xf numFmtId="20" fontId="31" fillId="0" borderId="6" xfId="1" applyNumberFormat="1" applyFont="1" applyBorder="1" applyAlignment="1" applyProtection="1">
      <alignment horizontal="center" vertical="center"/>
      <protection hidden="1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4" fillId="0" borderId="0" xfId="1" applyAlignment="1" applyProtection="1">
      <alignment horizontal="center" vertical="top"/>
      <protection locked="0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0" fontId="12" fillId="0" borderId="0" xfId="1" applyFont="1" applyAlignment="1" applyProtection="1">
      <alignment horizontal="left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" xfId="4" applyFont="1" applyFill="1" applyBorder="1" applyAlignment="1">
      <alignment horizontal="center" vertical="center" wrapText="1"/>
    </xf>
    <xf numFmtId="0" fontId="28" fillId="3" borderId="10" xfId="4" applyFont="1" applyFill="1" applyBorder="1" applyAlignment="1">
      <alignment horizontal="center" vertical="center" wrapText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7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D83492B8-6E8B-4F02-AC29-5362DED6C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712674DC-D896-44CF-B16A-19A780DA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60" totalsRowShown="0" headerRowDxfId="30" dataDxfId="28" headerRowBorderDxfId="29" tableBorderDxfId="27" totalsRowBorderDxfId="26">
  <autoFilter ref="A5:R60" xr:uid="{C13234AD-FA7A-4D97-9950-884B1BAC5114}"/>
  <tableColumns count="18">
    <tableColumn id="1" xr3:uid="{4EE8D68C-6341-4B29-B641-9AE121FFC379}" name="ID" dataDxfId="25"/>
    <tableColumn id="13" xr3:uid="{6A5344E1-D1D3-47B9-829C-53660AE6BD13}" name="SEXO" dataDxfId="24"/>
    <tableColumn id="2" xr3:uid="{0745EBDD-7777-42FA-BBE2-AFB1A77D7D84}" name="NOMBRES" dataDxfId="23"/>
    <tableColumn id="3" xr3:uid="{7564F2DE-73A8-4B30-9203-9F9C020B2B77}" name="APELLIDOS" dataDxfId="22"/>
    <tableColumn id="4" xr3:uid="{138A6C34-D8CD-41B4-9EFF-978D7C2DE765}" name="DIRECCION" dataDxfId="21"/>
    <tableColumn id="5" xr3:uid="{C8D5AC91-FD8D-4DF9-839C-C5ED07E974EB}" name="CIUDAD" dataDxfId="20"/>
    <tableColumn id="6" xr3:uid="{24EDCC2B-B6C9-4E4B-8093-0AF6A75A0AF3}" name="CELULAR" dataDxfId="19"/>
    <tableColumn id="7" xr3:uid="{67D71369-E093-42C2-B0A6-DACFA0F5E808}" name="FECHA DE NACIMIENTO" dataDxfId="18"/>
    <tableColumn id="8" xr3:uid="{0134D105-6BF0-47FF-91B8-395D5301FEBC}" name="EMAIL" dataDxfId="17"/>
    <tableColumn id="9" xr3:uid="{00DC93FC-A831-4C3A-9FB0-9EFBF0727524}" name="FECHA DE INGRESO" dataDxfId="16"/>
    <tableColumn id="10" xr3:uid="{6837E4F2-1063-4135-A1CA-9F981C7E3153}" name="CARGO" dataDxfId="15"/>
    <tableColumn id="11" xr3:uid="{93762E5C-BD7A-4C35-9FC5-B91D9955CB7E}" name="SALARIO BASICO" dataDxfId="14"/>
    <tableColumn id="18" xr3:uid="{04E1F06F-BD56-4693-8758-78D31FB4076C}" name="REGIMEN" dataDxfId="13"/>
    <tableColumn id="17" xr3:uid="{FDF30423-A81F-48E5-81B0-342D0FABCA10}" name="TURNO" dataDxfId="12"/>
    <tableColumn id="16" xr3:uid="{182F5DA9-60DB-47BE-921F-8243E6C68D38}" name="LINEA DE NEGOCIO" dataDxfId="11"/>
    <tableColumn id="14" xr3:uid="{F5FF9719-63B6-4A0B-8E4E-175CE17E2AB1}" name="LUGAR DE TRABAJO" dataDxfId="10"/>
    <tableColumn id="19" xr3:uid="{EFB5E090-DD33-4C1B-A7A7-0B23471E1CFA}" name="CECO" dataDxfId="9"/>
    <tableColumn id="12" xr3:uid="{666ACAFF-B14C-479F-B12A-E9DDAC762711}" name="SUB CECO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topLeftCell="A4" zoomScale="70" zoomScaleNormal="70" zoomScaleSheetLayoutView="70" zoomScalePageLayoutView="90" workbookViewId="0">
      <selection activeCell="H22" sqref="H22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6" t="s">
        <v>16</v>
      </c>
      <c r="C2" s="267"/>
      <c r="D2" s="268"/>
      <c r="E2" s="275" t="s">
        <v>17</v>
      </c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7"/>
      <c r="R2" s="1"/>
      <c r="S2" s="3"/>
      <c r="T2" s="3"/>
      <c r="U2" s="3"/>
      <c r="V2" s="1"/>
    </row>
    <row r="3" spans="1:24" ht="15.75" customHeight="1" x14ac:dyDescent="0.25">
      <c r="A3" s="1"/>
      <c r="B3" s="269"/>
      <c r="C3" s="270"/>
      <c r="D3" s="271"/>
      <c r="E3" s="278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80"/>
      <c r="R3" s="1"/>
      <c r="S3" s="4"/>
      <c r="T3" s="1"/>
      <c r="U3" s="1"/>
      <c r="V3" s="1"/>
    </row>
    <row r="4" spans="1:24" ht="15.75" customHeight="1" x14ac:dyDescent="0.25">
      <c r="A4" s="1"/>
      <c r="B4" s="269"/>
      <c r="C4" s="270"/>
      <c r="D4" s="271"/>
      <c r="E4" s="278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80"/>
      <c r="R4" s="1"/>
      <c r="S4" s="4"/>
      <c r="T4" s="1"/>
      <c r="U4" s="1"/>
      <c r="V4" s="1"/>
    </row>
    <row r="5" spans="1:24" ht="15.75" customHeight="1" thickBot="1" x14ac:dyDescent="0.3">
      <c r="A5" s="1"/>
      <c r="B5" s="272"/>
      <c r="C5" s="273"/>
      <c r="D5" s="274"/>
      <c r="E5" s="281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3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2" t="s">
        <v>18</v>
      </c>
      <c r="D7" s="252"/>
      <c r="E7" s="258" t="str">
        <f>IF($E$8="","",VLOOKUP($E$8,'BD Personal'!$A$6:$R$64,3,FALSE))&amp;" "&amp;IF($E$8="","",VLOOKUP($E$8,'BD Personal'!$A$6:$R$64,4,FALSE))</f>
        <v xml:space="preserve"> </v>
      </c>
      <c r="F7" s="258"/>
      <c r="G7" s="258"/>
      <c r="H7" s="258"/>
      <c r="I7" s="252" t="s">
        <v>19</v>
      </c>
      <c r="J7" s="252"/>
      <c r="K7" s="258" t="str">
        <f>IF($E$8="","",VLOOKUP($E$8,'BD Personal'!$A$6:$R$64,2,FALSE))</f>
        <v/>
      </c>
      <c r="L7" s="258"/>
      <c r="M7" s="258"/>
      <c r="N7" s="252" t="s">
        <v>20</v>
      </c>
      <c r="O7" s="252"/>
      <c r="P7" s="284" t="str">
        <f ca="1">IF($E$8="","",TODAY()-VLOOKUP($E$8,'BD Personal'!$A$6:$R$64,8,FALSE))</f>
        <v/>
      </c>
      <c r="Q7" s="285"/>
      <c r="S7" s="4"/>
    </row>
    <row r="8" spans="1:24" ht="26.1" customHeight="1" x14ac:dyDescent="0.25">
      <c r="B8" s="130"/>
      <c r="C8" s="252" t="s">
        <v>21</v>
      </c>
      <c r="D8" s="252"/>
      <c r="E8" s="263"/>
      <c r="F8" s="263"/>
      <c r="G8" s="263"/>
      <c r="H8" s="263"/>
      <c r="I8" s="252" t="s">
        <v>22</v>
      </c>
      <c r="J8" s="252"/>
      <c r="K8" s="258" t="str">
        <f>IF($E$8="","",VLOOKUP($E$8,'BD Personal'!$A$6:$R$64,11,FALSE))</f>
        <v/>
      </c>
      <c r="L8" s="258"/>
      <c r="M8" s="258"/>
      <c r="N8" s="252" t="s">
        <v>23</v>
      </c>
      <c r="O8" s="252"/>
      <c r="P8" s="264" t="str">
        <f>IF($E$8="","",VLOOKUP($E$8,'BD Personal'!$A$6:$R$64,10,FALSE))</f>
        <v/>
      </c>
      <c r="Q8" s="265"/>
      <c r="S8" s="4"/>
      <c r="T8" s="6"/>
      <c r="U8" s="286"/>
      <c r="V8" s="286"/>
      <c r="W8" s="286"/>
      <c r="X8" s="2"/>
    </row>
    <row r="9" spans="1:24" ht="26.1" customHeight="1" x14ac:dyDescent="0.2">
      <c r="B9" s="130"/>
      <c r="C9" s="252" t="s">
        <v>24</v>
      </c>
      <c r="D9" s="252"/>
      <c r="E9" s="258" t="str">
        <f>IF($E$8="","",VLOOKUP($E$8,'BD Personal'!$A$6:$R$64,13,FALSE))</f>
        <v/>
      </c>
      <c r="F9" s="258"/>
      <c r="G9" s="258"/>
      <c r="H9" s="258"/>
      <c r="I9" s="252" t="s">
        <v>25</v>
      </c>
      <c r="J9" s="252"/>
      <c r="K9" s="258" t="str">
        <f>IF($E$8="","",VLOOKUP($E$8,'BD Personal'!$A$6:$R$64,14,FALSE))</f>
        <v/>
      </c>
      <c r="L9" s="258"/>
      <c r="M9" s="258"/>
      <c r="N9" s="261" t="s">
        <v>26</v>
      </c>
      <c r="O9" s="261"/>
      <c r="P9" s="259"/>
      <c r="Q9" s="260"/>
      <c r="S9" s="4"/>
      <c r="T9" s="7"/>
      <c r="U9" s="7"/>
      <c r="V9" s="262"/>
      <c r="W9" s="262"/>
      <c r="X9" s="262"/>
    </row>
    <row r="10" spans="1:24" ht="26.1" customHeight="1" x14ac:dyDescent="0.25">
      <c r="B10" s="130"/>
      <c r="C10" s="252" t="s">
        <v>27</v>
      </c>
      <c r="D10" s="252"/>
      <c r="E10" s="257" t="str">
        <f>IF($E$8="","",VLOOKUP($E$8,'BD Personal'!$A$6:$R$64,15,FALSE))</f>
        <v/>
      </c>
      <c r="F10" s="257"/>
      <c r="G10" s="257"/>
      <c r="H10" s="257"/>
      <c r="I10" s="252" t="s">
        <v>28</v>
      </c>
      <c r="J10" s="252"/>
      <c r="K10" s="258" t="str">
        <f>IF($E$8="","",VLOOKUP($E$8,'BD Personal'!$A$6:$R$64,17,FALSE))</f>
        <v/>
      </c>
      <c r="L10" s="258"/>
      <c r="M10" s="258"/>
      <c r="N10" s="252" t="s">
        <v>29</v>
      </c>
      <c r="O10" s="252"/>
      <c r="P10" s="259" t="str">
        <f>IF($E$8="","",VLOOKUP($E$8,'BD Personal'!$A$6:$R$64,18,FALSE))</f>
        <v/>
      </c>
      <c r="Q10" s="260"/>
      <c r="S10" s="4"/>
      <c r="T10" s="8"/>
      <c r="U10" s="251"/>
      <c r="V10" s="251"/>
      <c r="W10" s="251"/>
      <c r="X10" s="2"/>
    </row>
    <row r="11" spans="1:24" ht="26.1" customHeight="1" thickBot="1" x14ac:dyDescent="0.25">
      <c r="B11" s="130"/>
      <c r="C11" s="252" t="s">
        <v>30</v>
      </c>
      <c r="D11" s="252"/>
      <c r="E11" s="253" t="str">
        <f>IF($E$8="","",VLOOKUP($E$8,'BD Personal'!$A$6:$R$64,16,FALSE))</f>
        <v/>
      </c>
      <c r="F11" s="253"/>
      <c r="G11" s="253"/>
      <c r="H11" s="253"/>
      <c r="I11" s="254" t="s">
        <v>31</v>
      </c>
      <c r="J11" s="254"/>
      <c r="K11" s="255" t="str">
        <f>Cronograma!B6</f>
        <v>AGOSTO</v>
      </c>
      <c r="L11" s="255"/>
      <c r="M11" s="255"/>
      <c r="N11" s="131"/>
      <c r="O11" s="132"/>
      <c r="P11" s="133"/>
      <c r="Q11" s="134"/>
      <c r="S11" s="4"/>
      <c r="T11" s="7"/>
      <c r="U11" s="2"/>
      <c r="V11" s="256"/>
      <c r="W11" s="256"/>
      <c r="X11" s="256"/>
    </row>
    <row r="12" spans="1:24" ht="27.75" customHeight="1" x14ac:dyDescent="0.25">
      <c r="A12" s="1"/>
      <c r="B12" s="243" t="s">
        <v>32</v>
      </c>
      <c r="C12" s="244"/>
      <c r="D12" s="244" t="s">
        <v>33</v>
      </c>
      <c r="E12" s="244"/>
      <c r="F12" s="229" t="s">
        <v>2</v>
      </c>
      <c r="G12" s="229" t="s">
        <v>176</v>
      </c>
      <c r="H12" s="229" t="s">
        <v>3</v>
      </c>
      <c r="I12" s="229" t="s">
        <v>4</v>
      </c>
      <c r="J12" s="229" t="s">
        <v>34</v>
      </c>
      <c r="K12" s="229" t="s">
        <v>35</v>
      </c>
      <c r="L12" s="229" t="s">
        <v>36</v>
      </c>
      <c r="M12" s="229" t="s">
        <v>37</v>
      </c>
      <c r="N12" s="229" t="s">
        <v>38</v>
      </c>
      <c r="O12" s="231" t="s">
        <v>5</v>
      </c>
      <c r="P12" s="245" t="s">
        <v>39</v>
      </c>
      <c r="Q12" s="246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30"/>
      <c r="G13" s="230"/>
      <c r="H13" s="230"/>
      <c r="I13" s="230"/>
      <c r="J13" s="230"/>
      <c r="K13" s="230"/>
      <c r="L13" s="230"/>
      <c r="M13" s="230"/>
      <c r="N13" s="230"/>
      <c r="O13" s="232"/>
      <c r="P13" s="247"/>
      <c r="Q13" s="248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9"/>
      <c r="Q14" s="250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3"/>
      <c r="Q15" s="234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3"/>
      <c r="Q16" s="234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3"/>
      <c r="Q17" s="234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3"/>
      <c r="Q18" s="234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3"/>
      <c r="Q19" s="234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3"/>
      <c r="Q20" s="234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3"/>
      <c r="Q21" s="234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3"/>
      <c r="Q22" s="234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3"/>
      <c r="Q23" s="234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3"/>
      <c r="Q24" s="234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3"/>
      <c r="Q25" s="234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3"/>
      <c r="Q26" s="234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3"/>
      <c r="Q27" s="234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3"/>
      <c r="Q28" s="234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3"/>
      <c r="Q29" s="234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3"/>
      <c r="Q30" s="234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3"/>
      <c r="Q31" s="234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3"/>
      <c r="Q32" s="234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3"/>
      <c r="Q33" s="234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3"/>
      <c r="Q34" s="234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3"/>
      <c r="Q35" s="234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3"/>
      <c r="Q36" s="234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3"/>
      <c r="Q37" s="234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3"/>
      <c r="Q38" s="234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3"/>
      <c r="Q39" s="234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3"/>
      <c r="Q40" s="234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3"/>
      <c r="Q41" s="234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3"/>
      <c r="Q42" s="234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3"/>
      <c r="Q43" s="234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5"/>
      <c r="Q44" s="236"/>
      <c r="R44" s="1"/>
      <c r="S44" s="1"/>
      <c r="T44" s="1"/>
      <c r="U44" s="1"/>
      <c r="V44" s="1"/>
    </row>
    <row r="45" spans="1:22" s="12" customFormat="1" ht="27.75" customHeight="1" thickBot="1" x14ac:dyDescent="0.3">
      <c r="B45" s="237" t="s">
        <v>44</v>
      </c>
      <c r="C45" s="238"/>
      <c r="D45" s="238"/>
      <c r="E45" s="238"/>
      <c r="F45" s="238"/>
      <c r="G45" s="239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0" t="s">
        <v>45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</row>
    <row r="48" spans="1:22" ht="25.5" customHeight="1" x14ac:dyDescent="0.25">
      <c r="A48" s="1"/>
      <c r="B48" s="243" t="s">
        <v>32</v>
      </c>
      <c r="C48" s="244"/>
      <c r="D48" s="244" t="s">
        <v>33</v>
      </c>
      <c r="E48" s="244"/>
      <c r="F48" s="229" t="s">
        <v>2</v>
      </c>
      <c r="G48" s="229" t="s">
        <v>176</v>
      </c>
      <c r="H48" s="229" t="s">
        <v>3</v>
      </c>
      <c r="I48" s="229" t="s">
        <v>4</v>
      </c>
      <c r="J48" s="229" t="s">
        <v>34</v>
      </c>
      <c r="K48" s="229" t="s">
        <v>35</v>
      </c>
      <c r="L48" s="229" t="s">
        <v>36</v>
      </c>
      <c r="M48" s="229" t="s">
        <v>37</v>
      </c>
      <c r="N48" s="229" t="s">
        <v>38</v>
      </c>
      <c r="O48" s="231" t="s">
        <v>5</v>
      </c>
      <c r="P48" s="245" t="s">
        <v>39</v>
      </c>
      <c r="Q48" s="246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30"/>
      <c r="G49" s="230"/>
      <c r="H49" s="230"/>
      <c r="I49" s="230"/>
      <c r="J49" s="230"/>
      <c r="K49" s="230"/>
      <c r="L49" s="230"/>
      <c r="M49" s="230"/>
      <c r="N49" s="230"/>
      <c r="O49" s="232"/>
      <c r="P49" s="247"/>
      <c r="Q49" s="248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3"/>
      <c r="Q50" s="224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5"/>
      <c r="Q51" s="226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5"/>
      <c r="Q52" s="226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5"/>
      <c r="Q53" s="226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7"/>
      <c r="Q54" s="228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8" t="s">
        <v>12</v>
      </c>
      <c r="C56" s="199"/>
      <c r="D56" s="199"/>
      <c r="E56" s="199"/>
      <c r="F56" s="199"/>
      <c r="G56" s="200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1" t="s">
        <v>46</v>
      </c>
      <c r="C58" s="202"/>
      <c r="D58" s="202"/>
      <c r="E58" s="202"/>
      <c r="F58" s="203"/>
      <c r="H58" s="204" t="s">
        <v>47</v>
      </c>
      <c r="I58" s="205"/>
      <c r="J58" s="205"/>
      <c r="K58" s="205"/>
      <c r="L58" s="205"/>
      <c r="M58" s="205"/>
      <c r="N58" s="205"/>
      <c r="O58" s="205"/>
      <c r="P58" s="205"/>
      <c r="Q58" s="206"/>
      <c r="R58" s="5"/>
      <c r="S58" s="5"/>
      <c r="U58" s="1"/>
      <c r="V58" s="1"/>
    </row>
    <row r="59" spans="1:22" s="13" customFormat="1" ht="22.5" customHeight="1" thickBot="1" x14ac:dyDescent="0.3">
      <c r="B59" s="210" t="s">
        <v>48</v>
      </c>
      <c r="C59" s="211"/>
      <c r="D59" s="10" t="s">
        <v>49</v>
      </c>
      <c r="E59" s="10" t="s">
        <v>50</v>
      </c>
      <c r="F59" s="14" t="s">
        <v>51</v>
      </c>
      <c r="H59" s="207"/>
      <c r="I59" s="208"/>
      <c r="J59" s="208"/>
      <c r="K59" s="208"/>
      <c r="L59" s="208"/>
      <c r="M59" s="208"/>
      <c r="N59" s="208"/>
      <c r="O59" s="208"/>
      <c r="P59" s="208"/>
      <c r="Q59" s="209"/>
    </row>
    <row r="60" spans="1:22" ht="17.25" customHeight="1" x14ac:dyDescent="0.25">
      <c r="A60" s="1"/>
      <c r="B60" s="212" t="str">
        <f>+H12</f>
        <v xml:space="preserve"> EXT. DIURNA 1.25</v>
      </c>
      <c r="C60" s="213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4"/>
      <c r="I60" s="215"/>
      <c r="J60" s="215"/>
      <c r="K60" s="215"/>
      <c r="L60" s="215"/>
      <c r="M60" s="215"/>
      <c r="N60" s="215"/>
      <c r="O60" s="215"/>
      <c r="P60" s="215"/>
      <c r="Q60" s="216"/>
      <c r="R60" s="1"/>
      <c r="S60" s="1"/>
      <c r="T60" s="1"/>
      <c r="U60" s="1"/>
      <c r="V60" s="1"/>
    </row>
    <row r="61" spans="1:22" ht="17.25" customHeight="1" x14ac:dyDescent="0.25">
      <c r="A61" s="1"/>
      <c r="B61" s="192" t="str">
        <f>+I12</f>
        <v>EXT. NOC. ORD. 1.75</v>
      </c>
      <c r="C61" s="193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7"/>
      <c r="I61" s="218"/>
      <c r="J61" s="218"/>
      <c r="K61" s="218"/>
      <c r="L61" s="218"/>
      <c r="M61" s="218"/>
      <c r="N61" s="218"/>
      <c r="O61" s="218"/>
      <c r="P61" s="218"/>
      <c r="Q61" s="219"/>
      <c r="R61" s="1"/>
      <c r="S61" s="1"/>
      <c r="T61" s="1"/>
      <c r="U61" s="1"/>
      <c r="V61" s="1"/>
    </row>
    <row r="62" spans="1:22" ht="17.25" customHeight="1" x14ac:dyDescent="0.25">
      <c r="A62" s="1"/>
      <c r="B62" s="192" t="str">
        <f>+J12</f>
        <v>EXTRA DOM./FES. DIU.2.00</v>
      </c>
      <c r="C62" s="193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7"/>
      <c r="I62" s="218"/>
      <c r="J62" s="218"/>
      <c r="K62" s="218"/>
      <c r="L62" s="218"/>
      <c r="M62" s="218"/>
      <c r="N62" s="218"/>
      <c r="O62" s="218"/>
      <c r="P62" s="218"/>
      <c r="Q62" s="219"/>
      <c r="R62" s="1"/>
      <c r="S62" s="1"/>
      <c r="T62" s="1"/>
      <c r="U62" s="1"/>
      <c r="V62" s="1"/>
    </row>
    <row r="63" spans="1:22" ht="17.25" customHeight="1" x14ac:dyDescent="0.25">
      <c r="A63" s="1"/>
      <c r="B63" s="192" t="str">
        <f>+K12</f>
        <v>EXTRA DOM./FES.  NOC. 2.50</v>
      </c>
      <c r="C63" s="193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7"/>
      <c r="I63" s="218"/>
      <c r="J63" s="218"/>
      <c r="K63" s="218"/>
      <c r="L63" s="218"/>
      <c r="M63" s="218"/>
      <c r="N63" s="218"/>
      <c r="O63" s="218"/>
      <c r="P63" s="218"/>
      <c r="Q63" s="219"/>
      <c r="R63" s="1"/>
      <c r="S63" s="1"/>
      <c r="T63" s="1"/>
      <c r="U63" s="1"/>
      <c r="V63" s="1"/>
    </row>
    <row r="64" spans="1:22" ht="17.25" customHeight="1" x14ac:dyDescent="0.25">
      <c r="A64" s="1"/>
      <c r="B64" s="192" t="str">
        <f>+L12</f>
        <v>REC. NOCT ORD.              0.35</v>
      </c>
      <c r="C64" s="193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7"/>
      <c r="I64" s="218"/>
      <c r="J64" s="218"/>
      <c r="K64" s="218"/>
      <c r="L64" s="218"/>
      <c r="M64" s="218"/>
      <c r="N64" s="218"/>
      <c r="O64" s="218"/>
      <c r="P64" s="218"/>
      <c r="Q64" s="219"/>
      <c r="R64" s="1"/>
      <c r="S64" s="1"/>
      <c r="T64" s="1"/>
      <c r="U64" s="1"/>
      <c r="V64" s="1"/>
    </row>
    <row r="65" spans="1:22" ht="17.25" customHeight="1" x14ac:dyDescent="0.25">
      <c r="A65" s="1"/>
      <c r="B65" s="192" t="str">
        <f>+M12</f>
        <v xml:space="preserve">REC, DOM / FESTIVA DIU 1.75 </v>
      </c>
      <c r="C65" s="193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7"/>
      <c r="I65" s="218"/>
      <c r="J65" s="218"/>
      <c r="K65" s="218"/>
      <c r="L65" s="218"/>
      <c r="M65" s="218"/>
      <c r="N65" s="218"/>
      <c r="O65" s="218"/>
      <c r="P65" s="218"/>
      <c r="Q65" s="219"/>
      <c r="R65" s="1"/>
      <c r="S65" s="1"/>
      <c r="T65" s="1"/>
      <c r="U65" s="1"/>
      <c r="V65" s="1"/>
    </row>
    <row r="66" spans="1:22" ht="17.25" customHeight="1" x14ac:dyDescent="0.25">
      <c r="A66" s="1"/>
      <c r="B66" s="192" t="str">
        <f>+N12</f>
        <v>REC. DOM. / FES. NOC.  2.10</v>
      </c>
      <c r="C66" s="193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7"/>
      <c r="I66" s="218"/>
      <c r="J66" s="218"/>
      <c r="K66" s="218"/>
      <c r="L66" s="218"/>
      <c r="M66" s="218"/>
      <c r="N66" s="218"/>
      <c r="O66" s="218"/>
      <c r="P66" s="218"/>
      <c r="Q66" s="219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4" t="str">
        <f>+O12</f>
        <v>COMPENSATORIOS</v>
      </c>
      <c r="C67" s="195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7"/>
      <c r="I67" s="218"/>
      <c r="J67" s="218"/>
      <c r="K67" s="218"/>
      <c r="L67" s="218"/>
      <c r="M67" s="218"/>
      <c r="N67" s="218"/>
      <c r="O67" s="218"/>
      <c r="P67" s="218"/>
      <c r="Q67" s="219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7"/>
      <c r="I68" s="218"/>
      <c r="J68" s="218"/>
      <c r="K68" s="218"/>
      <c r="L68" s="218"/>
      <c r="M68" s="218"/>
      <c r="N68" s="218"/>
      <c r="O68" s="218"/>
      <c r="P68" s="218"/>
      <c r="Q68" s="219"/>
      <c r="R68" s="1"/>
      <c r="S68" s="1"/>
      <c r="T68" s="1"/>
      <c r="U68" s="1"/>
      <c r="V68" s="1"/>
    </row>
    <row r="69" spans="1:22" ht="18" customHeight="1" thickBot="1" x14ac:dyDescent="0.3">
      <c r="A69" s="1"/>
      <c r="B69" s="196" t="s">
        <v>53</v>
      </c>
      <c r="C69" s="196"/>
      <c r="D69" s="196"/>
      <c r="E69" s="196"/>
      <c r="F69" s="95">
        <f>SUM(F60:F67)</f>
        <v>0</v>
      </c>
      <c r="G69" s="1"/>
      <c r="H69" s="220"/>
      <c r="I69" s="221"/>
      <c r="J69" s="221"/>
      <c r="K69" s="221"/>
      <c r="L69" s="221"/>
      <c r="M69" s="221"/>
      <c r="N69" s="221"/>
      <c r="O69" s="221"/>
      <c r="P69" s="221"/>
      <c r="Q69" s="22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7"/>
      <c r="D76" s="197"/>
      <c r="E76" s="197"/>
      <c r="F76" s="197"/>
      <c r="G76" s="197"/>
      <c r="H76" s="197"/>
      <c r="I76" s="197"/>
      <c r="L76" s="197"/>
      <c r="M76" s="197"/>
      <c r="N76" s="197"/>
      <c r="O76" s="197"/>
      <c r="P76" s="197"/>
    </row>
    <row r="77" spans="1:22" ht="30.75" customHeight="1" thickTop="1" x14ac:dyDescent="0.25">
      <c r="C77" s="191" t="s">
        <v>54</v>
      </c>
      <c r="D77" s="191"/>
      <c r="E77" s="191"/>
      <c r="F77" s="191"/>
      <c r="G77" s="191"/>
      <c r="H77" s="191"/>
      <c r="I77" s="191"/>
      <c r="J77" s="16"/>
      <c r="K77" s="16"/>
      <c r="L77" s="191" t="s">
        <v>55</v>
      </c>
      <c r="M77" s="191"/>
      <c r="N77" s="191"/>
      <c r="O77" s="191"/>
      <c r="P77" s="191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formatCells="0" formatColumns="0" formatRows="0" insertColumns="0" insertRows="0" insertHyperlinks="0" deleteColumns="0" deleteRows="0" sort="0" autoFilter="0" pivotTables="0"/>
  <mergeCells count="116">
    <mergeCell ref="B2:D5"/>
    <mergeCell ref="E2:Q5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56" priority="4">
      <formula>WEEKDAY(B14,2)=7</formula>
    </cfRule>
  </conditionalFormatting>
  <conditionalFormatting sqref="C14:C44">
    <cfRule type="expression" dxfId="55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10" sqref="E10:H1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6"/>
      <c r="C2" s="267"/>
      <c r="D2" s="267"/>
      <c r="E2" s="268"/>
      <c r="F2" s="275" t="s">
        <v>17</v>
      </c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7"/>
      <c r="R2" s="1"/>
      <c r="S2" s="3"/>
      <c r="T2" s="3"/>
      <c r="U2" s="3"/>
      <c r="V2" s="1"/>
    </row>
    <row r="3" spans="1:24" ht="15.75" customHeight="1" x14ac:dyDescent="0.25">
      <c r="A3" s="1"/>
      <c r="B3" s="269"/>
      <c r="C3" s="287"/>
      <c r="D3" s="287"/>
      <c r="E3" s="271"/>
      <c r="F3" s="27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0"/>
      <c r="R3" s="1"/>
      <c r="S3" s="4"/>
      <c r="T3" s="1"/>
      <c r="U3" s="1"/>
      <c r="V3" s="1"/>
    </row>
    <row r="4" spans="1:24" ht="15.75" customHeight="1" x14ac:dyDescent="0.25">
      <c r="A4" s="1"/>
      <c r="B4" s="269"/>
      <c r="C4" s="287"/>
      <c r="D4" s="287"/>
      <c r="E4" s="271"/>
      <c r="F4" s="27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0"/>
      <c r="R4" s="1"/>
      <c r="S4" s="4"/>
      <c r="T4" s="1"/>
      <c r="U4" s="1"/>
      <c r="V4" s="1"/>
    </row>
    <row r="5" spans="1:24" ht="15.75" customHeight="1" thickBot="1" x14ac:dyDescent="0.3">
      <c r="A5" s="1"/>
      <c r="B5" s="272"/>
      <c r="C5" s="273"/>
      <c r="D5" s="273"/>
      <c r="E5" s="274"/>
      <c r="F5" s="281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3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2" t="s">
        <v>18</v>
      </c>
      <c r="D7" s="252"/>
      <c r="E7" s="258" t="str">
        <f>IF($E$8="","",VLOOKUP($E$8,'BD Personal'!$A$6:$R$64,3,FALSE))&amp;" "&amp;IF($E$8="","",VLOOKUP($E$8,'BD Personal'!$A$6:$R$64,4,FALSE))</f>
        <v xml:space="preserve"> </v>
      </c>
      <c r="F7" s="258"/>
      <c r="G7" s="258"/>
      <c r="H7" s="258"/>
      <c r="I7" s="252" t="s">
        <v>19</v>
      </c>
      <c r="J7" s="252"/>
      <c r="K7" s="258" t="str">
        <f>IF($E$8="","",VLOOKUP($E$8,'BD Personal'!$A$6:$R$64,2,FALSE))</f>
        <v/>
      </c>
      <c r="L7" s="258"/>
      <c r="M7" s="258"/>
      <c r="N7" s="252" t="s">
        <v>20</v>
      </c>
      <c r="O7" s="252"/>
      <c r="P7" s="284" t="str">
        <f ca="1">IF($E$8="","",TODAY()-VLOOKUP($E$8,'BD Personal'!$A$6:$R$64,8,FALSE))</f>
        <v/>
      </c>
      <c r="Q7" s="285"/>
      <c r="S7" s="4"/>
    </row>
    <row r="8" spans="1:24" ht="26.1" customHeight="1" x14ac:dyDescent="0.25">
      <c r="B8" s="130"/>
      <c r="C8" s="252" t="s">
        <v>21</v>
      </c>
      <c r="D8" s="252"/>
      <c r="E8" s="263"/>
      <c r="F8" s="263"/>
      <c r="G8" s="263"/>
      <c r="H8" s="263"/>
      <c r="I8" s="252" t="s">
        <v>22</v>
      </c>
      <c r="J8" s="252"/>
      <c r="K8" s="258" t="str">
        <f>IF($E$8="","",VLOOKUP($E$8,'BD Personal'!$A$6:$R$64,11,FALSE))</f>
        <v/>
      </c>
      <c r="L8" s="258"/>
      <c r="M8" s="258"/>
      <c r="N8" s="252" t="s">
        <v>23</v>
      </c>
      <c r="O8" s="252"/>
      <c r="P8" s="264" t="str">
        <f>IF($E$8="","",VLOOKUP($E$8,'BD Personal'!$A$6:$R$64,10,FALSE))</f>
        <v/>
      </c>
      <c r="Q8" s="265"/>
      <c r="S8" s="4"/>
      <c r="T8" s="6"/>
      <c r="U8" s="286"/>
      <c r="V8" s="286"/>
      <c r="W8" s="286"/>
      <c r="X8" s="2"/>
    </row>
    <row r="9" spans="1:24" ht="26.1" customHeight="1" x14ac:dyDescent="0.2">
      <c r="B9" s="130"/>
      <c r="C9" s="252" t="s">
        <v>24</v>
      </c>
      <c r="D9" s="252"/>
      <c r="E9" s="258" t="str">
        <f>IF($E$8="","",VLOOKUP($E$8,'BD Personal'!$A$6:$R$64,13,FALSE))</f>
        <v/>
      </c>
      <c r="F9" s="258"/>
      <c r="G9" s="258"/>
      <c r="H9" s="258"/>
      <c r="I9" s="252" t="s">
        <v>25</v>
      </c>
      <c r="J9" s="252"/>
      <c r="K9" s="258" t="str">
        <f>IF($E$8="","",VLOOKUP($E$8,'BD Personal'!$A$6:$R$64,14,FALSE))</f>
        <v/>
      </c>
      <c r="L9" s="258"/>
      <c r="M9" s="258"/>
      <c r="N9" s="261" t="s">
        <v>26</v>
      </c>
      <c r="O9" s="261"/>
      <c r="P9" s="259"/>
      <c r="Q9" s="260"/>
      <c r="S9" s="4"/>
      <c r="T9" s="7"/>
      <c r="U9" s="7"/>
      <c r="V9" s="262"/>
      <c r="W9" s="262"/>
      <c r="X9" s="262"/>
    </row>
    <row r="10" spans="1:24" ht="26.1" customHeight="1" x14ac:dyDescent="0.25">
      <c r="B10" s="130"/>
      <c r="C10" s="252" t="s">
        <v>27</v>
      </c>
      <c r="D10" s="252"/>
      <c r="E10" s="257" t="str">
        <f>IF($E$8="","",VLOOKUP($E$8,'BD Personal'!$A$6:$R$64,15,FALSE))</f>
        <v/>
      </c>
      <c r="F10" s="257"/>
      <c r="G10" s="257"/>
      <c r="H10" s="257"/>
      <c r="I10" s="252" t="s">
        <v>28</v>
      </c>
      <c r="J10" s="252"/>
      <c r="K10" s="258" t="str">
        <f>IF($E$8="","",VLOOKUP($E$8,'BD Personal'!$A$6:$R$64,17,FALSE))</f>
        <v/>
      </c>
      <c r="L10" s="258"/>
      <c r="M10" s="258"/>
      <c r="N10" s="252" t="s">
        <v>29</v>
      </c>
      <c r="O10" s="252"/>
      <c r="P10" s="259" t="str">
        <f>IF($E$8="","",VLOOKUP($E$8,'BD Personal'!$A$6:$R$64,18,FALSE))</f>
        <v/>
      </c>
      <c r="Q10" s="260"/>
      <c r="S10" s="4"/>
      <c r="T10" s="8"/>
      <c r="U10" s="251"/>
      <c r="V10" s="251"/>
      <c r="W10" s="251"/>
      <c r="X10" s="2"/>
    </row>
    <row r="11" spans="1:24" ht="26.1" customHeight="1" thickBot="1" x14ac:dyDescent="0.25">
      <c r="B11" s="130"/>
      <c r="C11" s="252" t="s">
        <v>30</v>
      </c>
      <c r="D11" s="252"/>
      <c r="E11" s="253" t="str">
        <f>IF($E$8="","",VLOOKUP($E$8,'BD Personal'!$A$6:$R$64,16,FALSE))</f>
        <v/>
      </c>
      <c r="F11" s="253"/>
      <c r="G11" s="253"/>
      <c r="H11" s="253"/>
      <c r="I11" s="254" t="s">
        <v>31</v>
      </c>
      <c r="J11" s="254"/>
      <c r="K11" s="255" t="str">
        <f>Cronograma!B6</f>
        <v>AGOSTO</v>
      </c>
      <c r="L11" s="255"/>
      <c r="M11" s="255"/>
      <c r="N11" s="131"/>
      <c r="O11" s="132"/>
      <c r="P11" s="133"/>
      <c r="Q11" s="134"/>
      <c r="S11" s="4"/>
      <c r="T11" s="7"/>
      <c r="U11" s="2"/>
      <c r="V11" s="256"/>
      <c r="W11" s="256"/>
      <c r="X11" s="256"/>
    </row>
    <row r="12" spans="1:24" ht="27.75" customHeight="1" x14ac:dyDescent="0.25">
      <c r="A12" s="1"/>
      <c r="B12" s="243" t="s">
        <v>32</v>
      </c>
      <c r="C12" s="244"/>
      <c r="D12" s="244" t="s">
        <v>33</v>
      </c>
      <c r="E12" s="244"/>
      <c r="F12" s="229" t="s">
        <v>2</v>
      </c>
      <c r="G12" s="229" t="s">
        <v>176</v>
      </c>
      <c r="H12" s="229" t="s">
        <v>3</v>
      </c>
      <c r="I12" s="229" t="s">
        <v>4</v>
      </c>
      <c r="J12" s="229" t="s">
        <v>34</v>
      </c>
      <c r="K12" s="229" t="s">
        <v>35</v>
      </c>
      <c r="L12" s="229" t="s">
        <v>36</v>
      </c>
      <c r="M12" s="229" t="s">
        <v>37</v>
      </c>
      <c r="N12" s="229" t="s">
        <v>38</v>
      </c>
      <c r="O12" s="231" t="s">
        <v>5</v>
      </c>
      <c r="P12" s="245" t="s">
        <v>39</v>
      </c>
      <c r="Q12" s="246"/>
      <c r="R12" s="1"/>
      <c r="S12" s="1"/>
      <c r="T12" s="1"/>
      <c r="U12" s="1"/>
      <c r="V12" s="1"/>
    </row>
    <row r="13" spans="1:24" ht="13.5" customHeight="1" thickBot="1" x14ac:dyDescent="0.3">
      <c r="A13" s="1"/>
      <c r="B13" s="163" t="s">
        <v>40</v>
      </c>
      <c r="C13" s="164" t="s">
        <v>41</v>
      </c>
      <c r="D13" s="11" t="s">
        <v>42</v>
      </c>
      <c r="E13" s="11" t="s">
        <v>43</v>
      </c>
      <c r="F13" s="230"/>
      <c r="G13" s="230"/>
      <c r="H13" s="230"/>
      <c r="I13" s="230"/>
      <c r="J13" s="230"/>
      <c r="K13" s="230"/>
      <c r="L13" s="230"/>
      <c r="M13" s="230"/>
      <c r="N13" s="230"/>
      <c r="O13" s="232"/>
      <c r="P13" s="247"/>
      <c r="Q13" s="248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9"/>
      <c r="Q14" s="250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3"/>
      <c r="Q15" s="234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3"/>
      <c r="Q16" s="234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3"/>
      <c r="Q17" s="234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3"/>
      <c r="Q18" s="234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3"/>
      <c r="Q19" s="234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3"/>
      <c r="Q20" s="234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3"/>
      <c r="Q21" s="234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3"/>
      <c r="Q22" s="234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3"/>
      <c r="Q23" s="234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3"/>
      <c r="Q24" s="234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3"/>
      <c r="Q25" s="234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3"/>
      <c r="Q26" s="234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3"/>
      <c r="Q27" s="234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3"/>
      <c r="Q28" s="234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3"/>
      <c r="Q29" s="234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3"/>
      <c r="Q30" s="234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3"/>
      <c r="Q31" s="234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3"/>
      <c r="Q32" s="234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3"/>
      <c r="Q33" s="234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3"/>
      <c r="Q34" s="234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3"/>
      <c r="Q35" s="234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3"/>
      <c r="Q36" s="234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3"/>
      <c r="Q37" s="234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3"/>
      <c r="Q38" s="234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3"/>
      <c r="Q39" s="234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3"/>
      <c r="Q40" s="234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3"/>
      <c r="Q41" s="234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3"/>
      <c r="Q42" s="234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3"/>
      <c r="Q43" s="234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5"/>
      <c r="Q44" s="236"/>
      <c r="R44" s="1"/>
      <c r="S44" s="1"/>
      <c r="T44" s="1"/>
      <c r="U44" s="1"/>
      <c r="V44" s="1"/>
    </row>
    <row r="45" spans="1:22" s="12" customFormat="1" ht="27.75" customHeight="1" thickBot="1" x14ac:dyDescent="0.3">
      <c r="B45" s="237" t="s">
        <v>44</v>
      </c>
      <c r="C45" s="238"/>
      <c r="D45" s="238"/>
      <c r="E45" s="238"/>
      <c r="F45" s="238"/>
      <c r="G45" s="239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0" t="s">
        <v>45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</row>
    <row r="48" spans="1:22" ht="25.5" customHeight="1" x14ac:dyDescent="0.25">
      <c r="A48" s="1"/>
      <c r="B48" s="243" t="s">
        <v>32</v>
      </c>
      <c r="C48" s="244"/>
      <c r="D48" s="244" t="s">
        <v>33</v>
      </c>
      <c r="E48" s="244"/>
      <c r="F48" s="229" t="s">
        <v>2</v>
      </c>
      <c r="G48" s="229" t="s">
        <v>176</v>
      </c>
      <c r="H48" s="229" t="s">
        <v>3</v>
      </c>
      <c r="I48" s="229" t="s">
        <v>4</v>
      </c>
      <c r="J48" s="229" t="s">
        <v>34</v>
      </c>
      <c r="K48" s="229" t="s">
        <v>35</v>
      </c>
      <c r="L48" s="229" t="s">
        <v>36</v>
      </c>
      <c r="M48" s="229" t="s">
        <v>37</v>
      </c>
      <c r="N48" s="229" t="s">
        <v>38</v>
      </c>
      <c r="O48" s="231" t="s">
        <v>5</v>
      </c>
      <c r="P48" s="245" t="s">
        <v>39</v>
      </c>
      <c r="Q48" s="246"/>
      <c r="R48" s="1"/>
      <c r="S48" s="1"/>
      <c r="T48" s="1"/>
      <c r="U48" s="1"/>
      <c r="V48" s="1"/>
    </row>
    <row r="49" spans="1:22" ht="25.5" customHeight="1" thickBot="1" x14ac:dyDescent="0.3">
      <c r="A49" s="1"/>
      <c r="B49" s="163" t="s">
        <v>40</v>
      </c>
      <c r="C49" s="164" t="s">
        <v>41</v>
      </c>
      <c r="D49" s="11" t="s">
        <v>42</v>
      </c>
      <c r="E49" s="11" t="s">
        <v>43</v>
      </c>
      <c r="F49" s="230"/>
      <c r="G49" s="230"/>
      <c r="H49" s="230"/>
      <c r="I49" s="230"/>
      <c r="J49" s="230"/>
      <c r="K49" s="230"/>
      <c r="L49" s="230"/>
      <c r="M49" s="230"/>
      <c r="N49" s="230"/>
      <c r="O49" s="232"/>
      <c r="P49" s="247"/>
      <c r="Q49" s="248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3"/>
      <c r="Q50" s="224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5"/>
      <c r="Q51" s="226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5"/>
      <c r="Q52" s="226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5"/>
      <c r="Q53" s="226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7"/>
      <c r="Q54" s="228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8" t="s">
        <v>12</v>
      </c>
      <c r="C56" s="199"/>
      <c r="D56" s="199"/>
      <c r="E56" s="199"/>
      <c r="F56" s="199"/>
      <c r="G56" s="200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1" t="s">
        <v>46</v>
      </c>
      <c r="C58" s="202"/>
      <c r="D58" s="202"/>
      <c r="E58" s="202"/>
      <c r="F58" s="203"/>
      <c r="H58" s="204" t="s">
        <v>47</v>
      </c>
      <c r="I58" s="205"/>
      <c r="J58" s="205"/>
      <c r="K58" s="205"/>
      <c r="L58" s="205"/>
      <c r="M58" s="205"/>
      <c r="N58" s="205"/>
      <c r="O58" s="205"/>
      <c r="P58" s="205"/>
      <c r="Q58" s="206"/>
      <c r="R58" s="5"/>
      <c r="S58" s="5"/>
      <c r="U58" s="1"/>
      <c r="V58" s="1"/>
    </row>
    <row r="59" spans="1:22" s="13" customFormat="1" ht="22.5" customHeight="1" thickBot="1" x14ac:dyDescent="0.3">
      <c r="B59" s="210" t="s">
        <v>48</v>
      </c>
      <c r="C59" s="211"/>
      <c r="D59" s="164" t="s">
        <v>49</v>
      </c>
      <c r="E59" s="164" t="s">
        <v>50</v>
      </c>
      <c r="F59" s="14" t="s">
        <v>51</v>
      </c>
      <c r="H59" s="207"/>
      <c r="I59" s="208"/>
      <c r="J59" s="208"/>
      <c r="K59" s="208"/>
      <c r="L59" s="208"/>
      <c r="M59" s="208"/>
      <c r="N59" s="208"/>
      <c r="O59" s="208"/>
      <c r="P59" s="208"/>
      <c r="Q59" s="209"/>
    </row>
    <row r="60" spans="1:22" ht="17.25" customHeight="1" x14ac:dyDescent="0.25">
      <c r="A60" s="1"/>
      <c r="B60" s="212" t="str">
        <f>+H12</f>
        <v xml:space="preserve"> EXT. DIURNA 1.25</v>
      </c>
      <c r="C60" s="213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4"/>
      <c r="I60" s="215"/>
      <c r="J60" s="215"/>
      <c r="K60" s="215"/>
      <c r="L60" s="215"/>
      <c r="M60" s="215"/>
      <c r="N60" s="215"/>
      <c r="O60" s="215"/>
      <c r="P60" s="215"/>
      <c r="Q60" s="216"/>
      <c r="R60" s="1"/>
      <c r="S60" s="1"/>
      <c r="T60" s="1"/>
      <c r="U60" s="1"/>
      <c r="V60" s="1"/>
    </row>
    <row r="61" spans="1:22" ht="17.25" customHeight="1" x14ac:dyDescent="0.25">
      <c r="A61" s="1"/>
      <c r="B61" s="192" t="str">
        <f>+I12</f>
        <v>EXT. NOC. ORD. 1.75</v>
      </c>
      <c r="C61" s="193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7"/>
      <c r="I61" s="218"/>
      <c r="J61" s="218"/>
      <c r="K61" s="218"/>
      <c r="L61" s="218"/>
      <c r="M61" s="218"/>
      <c r="N61" s="218"/>
      <c r="O61" s="218"/>
      <c r="P61" s="218"/>
      <c r="Q61" s="219"/>
      <c r="R61" s="1"/>
      <c r="S61" s="1"/>
      <c r="T61" s="1"/>
      <c r="U61" s="1"/>
      <c r="V61" s="1"/>
    </row>
    <row r="62" spans="1:22" ht="17.25" customHeight="1" x14ac:dyDescent="0.25">
      <c r="A62" s="1"/>
      <c r="B62" s="192" t="str">
        <f>+J12</f>
        <v>EXTRA DOM./FES. DIU.2.00</v>
      </c>
      <c r="C62" s="193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7"/>
      <c r="I62" s="218"/>
      <c r="J62" s="218"/>
      <c r="K62" s="218"/>
      <c r="L62" s="218"/>
      <c r="M62" s="218"/>
      <c r="N62" s="218"/>
      <c r="O62" s="218"/>
      <c r="P62" s="218"/>
      <c r="Q62" s="219"/>
      <c r="R62" s="1"/>
      <c r="S62" s="1"/>
      <c r="T62" s="1"/>
      <c r="U62" s="1"/>
      <c r="V62" s="1"/>
    </row>
    <row r="63" spans="1:22" ht="17.25" customHeight="1" x14ac:dyDescent="0.25">
      <c r="A63" s="1"/>
      <c r="B63" s="192" t="str">
        <f>+K12</f>
        <v>EXTRA DOM./FES.  NOC. 2.50</v>
      </c>
      <c r="C63" s="193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7"/>
      <c r="I63" s="218"/>
      <c r="J63" s="218"/>
      <c r="K63" s="218"/>
      <c r="L63" s="218"/>
      <c r="M63" s="218"/>
      <c r="N63" s="218"/>
      <c r="O63" s="218"/>
      <c r="P63" s="218"/>
      <c r="Q63" s="219"/>
      <c r="R63" s="1"/>
      <c r="S63" s="1"/>
      <c r="T63" s="1"/>
      <c r="U63" s="1"/>
      <c r="V63" s="1"/>
    </row>
    <row r="64" spans="1:22" ht="17.25" customHeight="1" x14ac:dyDescent="0.25">
      <c r="A64" s="1"/>
      <c r="B64" s="192" t="str">
        <f>+L12</f>
        <v>REC. NOCT ORD.              0.35</v>
      </c>
      <c r="C64" s="193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7"/>
      <c r="I64" s="218"/>
      <c r="J64" s="218"/>
      <c r="K64" s="218"/>
      <c r="L64" s="218"/>
      <c r="M64" s="218"/>
      <c r="N64" s="218"/>
      <c r="O64" s="218"/>
      <c r="P64" s="218"/>
      <c r="Q64" s="219"/>
      <c r="R64" s="1"/>
      <c r="S64" s="1"/>
      <c r="T64" s="1"/>
      <c r="U64" s="1"/>
      <c r="V64" s="1"/>
    </row>
    <row r="65" spans="1:22" ht="17.25" customHeight="1" x14ac:dyDescent="0.25">
      <c r="A65" s="1"/>
      <c r="B65" s="192" t="str">
        <f>+M12</f>
        <v xml:space="preserve">REC, DOM / FESTIVA DIU 1.75 </v>
      </c>
      <c r="C65" s="193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7"/>
      <c r="I65" s="218"/>
      <c r="J65" s="218"/>
      <c r="K65" s="218"/>
      <c r="L65" s="218"/>
      <c r="M65" s="218"/>
      <c r="N65" s="218"/>
      <c r="O65" s="218"/>
      <c r="P65" s="218"/>
      <c r="Q65" s="219"/>
      <c r="R65" s="1"/>
      <c r="S65" s="1"/>
      <c r="T65" s="1"/>
      <c r="U65" s="1"/>
      <c r="V65" s="1"/>
    </row>
    <row r="66" spans="1:22" ht="17.25" customHeight="1" x14ac:dyDescent="0.25">
      <c r="A66" s="1"/>
      <c r="B66" s="192" t="str">
        <f>+N12</f>
        <v>REC. DOM. / FES. NOC.  2.10</v>
      </c>
      <c r="C66" s="193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7"/>
      <c r="I66" s="218"/>
      <c r="J66" s="218"/>
      <c r="K66" s="218"/>
      <c r="L66" s="218"/>
      <c r="M66" s="218"/>
      <c r="N66" s="218"/>
      <c r="O66" s="218"/>
      <c r="P66" s="218"/>
      <c r="Q66" s="219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4" t="str">
        <f>+O12</f>
        <v>COMPENSATORIOS</v>
      </c>
      <c r="C67" s="195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7"/>
      <c r="I67" s="218"/>
      <c r="J67" s="218"/>
      <c r="K67" s="218"/>
      <c r="L67" s="218"/>
      <c r="M67" s="218"/>
      <c r="N67" s="218"/>
      <c r="O67" s="218"/>
      <c r="P67" s="218"/>
      <c r="Q67" s="219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7"/>
      <c r="I68" s="218"/>
      <c r="J68" s="218"/>
      <c r="K68" s="218"/>
      <c r="L68" s="218"/>
      <c r="M68" s="218"/>
      <c r="N68" s="218"/>
      <c r="O68" s="218"/>
      <c r="P68" s="218"/>
      <c r="Q68" s="219"/>
      <c r="R68" s="1"/>
      <c r="S68" s="1"/>
      <c r="T68" s="1"/>
      <c r="U68" s="1"/>
      <c r="V68" s="1"/>
    </row>
    <row r="69" spans="1:22" ht="18" customHeight="1" thickBot="1" x14ac:dyDescent="0.3">
      <c r="A69" s="1"/>
      <c r="B69" s="196" t="s">
        <v>53</v>
      </c>
      <c r="C69" s="196"/>
      <c r="D69" s="196"/>
      <c r="E69" s="196"/>
      <c r="F69" s="95">
        <f>SUM(F60:F67)</f>
        <v>0</v>
      </c>
      <c r="G69" s="1"/>
      <c r="H69" s="220"/>
      <c r="I69" s="221"/>
      <c r="J69" s="221"/>
      <c r="K69" s="221"/>
      <c r="L69" s="221"/>
      <c r="M69" s="221"/>
      <c r="N69" s="221"/>
      <c r="O69" s="221"/>
      <c r="P69" s="221"/>
      <c r="Q69" s="22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7"/>
      <c r="D76" s="197"/>
      <c r="E76" s="197"/>
      <c r="F76" s="197"/>
      <c r="G76" s="197"/>
      <c r="H76" s="197"/>
      <c r="I76" s="197"/>
      <c r="L76" s="197"/>
      <c r="M76" s="197"/>
      <c r="N76" s="197"/>
      <c r="O76" s="197"/>
      <c r="P76" s="197"/>
    </row>
    <row r="77" spans="1:22" ht="30.75" customHeight="1" thickTop="1" x14ac:dyDescent="0.25">
      <c r="C77" s="191" t="s">
        <v>54</v>
      </c>
      <c r="D77" s="191"/>
      <c r="E77" s="191"/>
      <c r="F77" s="191"/>
      <c r="G77" s="191"/>
      <c r="H77" s="191"/>
      <c r="I77" s="191"/>
      <c r="J77" s="16"/>
      <c r="K77" s="16"/>
      <c r="L77" s="191" t="s">
        <v>55</v>
      </c>
      <c r="M77" s="191"/>
      <c r="N77" s="191"/>
      <c r="O77" s="191"/>
      <c r="P77" s="191"/>
    </row>
    <row r="78" spans="1:22" x14ac:dyDescent="0.25"/>
    <row r="79" spans="1:22" x14ac:dyDescent="0.25"/>
  </sheetData>
  <sheetProtection algorithmName="SHA-512" hashValue="H7vH0sa84FWORUr7jEtBxf66/H6A+LZBWkTqaf3avYPg1wGcaPv/w0FBu+mTKpylKeCujFL7jhPJ4K86bg5HZA==" saltValue="dXHt+nQLLdnMjEiK7WJFWQ==" spinCount="100000" sheet="1" formatCells="0" formatColumns="0" formatRows="0" insertColumns="0" insertRows="0" insertHyperlinks="0" deleteColumns="0" deleteRows="0" sort="0" autoFilter="0" pivotTables="0"/>
  <mergeCells count="116"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</mergeCells>
  <conditionalFormatting sqref="B14:B44">
    <cfRule type="expression" dxfId="52" priority="4">
      <formula>WEEKDAY(B14,2)=7</formula>
    </cfRule>
  </conditionalFormatting>
  <conditionalFormatting sqref="C14:C44">
    <cfRule type="expression" dxfId="51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M1" sqref="M1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299</v>
      </c>
      <c r="M1">
        <v>14</v>
      </c>
      <c r="N1">
        <v>1</v>
      </c>
      <c r="O1">
        <v>21</v>
      </c>
      <c r="P1">
        <v>2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5" t="s">
        <v>76</v>
      </c>
      <c r="J2" s="179" t="s">
        <v>273</v>
      </c>
      <c r="K2" s="180" t="s">
        <v>286</v>
      </c>
      <c r="L2" s="156" t="s">
        <v>78</v>
      </c>
      <c r="M2" s="157" t="s">
        <v>69</v>
      </c>
      <c r="N2" s="157" t="s">
        <v>83</v>
      </c>
      <c r="O2" s="157" t="s">
        <v>86</v>
      </c>
      <c r="P2" s="157" t="s">
        <v>89</v>
      </c>
      <c r="Q2" s="157" t="s">
        <v>133</v>
      </c>
      <c r="R2" s="157" t="s">
        <v>92</v>
      </c>
      <c r="S2" s="157" t="s">
        <v>95</v>
      </c>
      <c r="T2" s="157" t="s">
        <v>141</v>
      </c>
      <c r="U2" s="82" t="s">
        <v>142</v>
      </c>
      <c r="V2" s="156" t="s">
        <v>172</v>
      </c>
      <c r="W2" s="157"/>
      <c r="X2" s="157"/>
      <c r="Y2" s="157"/>
      <c r="Z2" s="157"/>
      <c r="AA2" s="157"/>
      <c r="AB2" s="157"/>
      <c r="AC2" s="157"/>
      <c r="AD2" s="157"/>
      <c r="AE2" s="82"/>
      <c r="AF2" s="156"/>
      <c r="AG2" s="157"/>
      <c r="AH2" s="157"/>
      <c r="AI2" s="157"/>
      <c r="AJ2" s="157"/>
      <c r="AK2" s="157"/>
      <c r="AL2" s="157"/>
      <c r="AM2" s="157"/>
      <c r="AN2" s="157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4">
        <v>43831</v>
      </c>
      <c r="J3" s="162" t="s">
        <v>274</v>
      </c>
      <c r="K3">
        <v>2019</v>
      </c>
      <c r="L3" s="158" t="s">
        <v>80</v>
      </c>
      <c r="M3" s="159" t="s">
        <v>80</v>
      </c>
      <c r="N3" s="159" t="s">
        <v>80</v>
      </c>
      <c r="O3" s="159" t="s">
        <v>80</v>
      </c>
      <c r="P3" s="159" t="s">
        <v>80</v>
      </c>
      <c r="Q3" s="159" t="s">
        <v>80</v>
      </c>
      <c r="R3" s="159" t="s">
        <v>80</v>
      </c>
      <c r="S3" s="159" t="s">
        <v>80</v>
      </c>
      <c r="T3" s="159" t="s">
        <v>80</v>
      </c>
      <c r="U3" s="160" t="s">
        <v>80</v>
      </c>
      <c r="V3" s="158" t="s">
        <v>80</v>
      </c>
      <c r="W3" s="159"/>
      <c r="X3" s="159"/>
      <c r="Y3" s="159"/>
      <c r="Z3" s="159"/>
      <c r="AA3" s="159"/>
      <c r="AB3" s="159"/>
      <c r="AC3" s="159"/>
      <c r="AD3" s="159"/>
      <c r="AE3" s="160"/>
      <c r="AF3" s="158"/>
      <c r="AG3" s="159"/>
      <c r="AH3" s="159"/>
      <c r="AI3" s="159"/>
      <c r="AJ3" s="159"/>
      <c r="AK3" s="159"/>
      <c r="AL3" s="159"/>
      <c r="AM3" s="159"/>
      <c r="AN3" s="159"/>
      <c r="AO3" s="160"/>
    </row>
    <row r="4" spans="2:41" x14ac:dyDescent="0.25">
      <c r="B4" s="33" t="s">
        <v>81</v>
      </c>
      <c r="C4" s="34" t="s">
        <v>134</v>
      </c>
      <c r="D4" s="34" t="s">
        <v>175</v>
      </c>
      <c r="E4" s="34" t="s">
        <v>69</v>
      </c>
      <c r="F4" s="35" t="s">
        <v>70</v>
      </c>
      <c r="G4" s="34">
        <v>1</v>
      </c>
      <c r="H4" s="34" t="s">
        <v>167</v>
      </c>
      <c r="I4" s="153">
        <v>43836</v>
      </c>
      <c r="J4" s="162" t="s">
        <v>275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160</v>
      </c>
      <c r="I5" s="153">
        <v>43913</v>
      </c>
      <c r="J5" s="162" t="s">
        <v>276</v>
      </c>
      <c r="K5">
        <v>2021</v>
      </c>
      <c r="L5" s="33" t="s">
        <v>96</v>
      </c>
      <c r="M5" s="34" t="s">
        <v>272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3">
        <v>43930</v>
      </c>
      <c r="J6" s="162" t="s">
        <v>277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170</v>
      </c>
      <c r="D7" s="34"/>
      <c r="E7" s="34" t="s">
        <v>89</v>
      </c>
      <c r="F7" s="35" t="s">
        <v>90</v>
      </c>
      <c r="G7" s="34">
        <v>4</v>
      </c>
      <c r="H7" s="34" t="s">
        <v>166</v>
      </c>
      <c r="I7" s="153">
        <v>43931</v>
      </c>
      <c r="J7" s="162" t="s">
        <v>278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161</v>
      </c>
      <c r="I8" s="153">
        <v>43952</v>
      </c>
      <c r="J8" s="162" t="s">
        <v>279</v>
      </c>
      <c r="K8">
        <v>2024</v>
      </c>
      <c r="L8" s="33" t="s">
        <v>272</v>
      </c>
      <c r="M8" s="34" t="s">
        <v>169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171</v>
      </c>
      <c r="D9" s="34"/>
      <c r="E9" s="34" t="s">
        <v>92</v>
      </c>
      <c r="F9" s="35" t="s">
        <v>71</v>
      </c>
      <c r="G9" s="34">
        <v>6</v>
      </c>
      <c r="H9" s="34" t="s">
        <v>164</v>
      </c>
      <c r="I9" s="153">
        <v>43976</v>
      </c>
      <c r="J9" s="162" t="s">
        <v>280</v>
      </c>
      <c r="K9">
        <v>2025</v>
      </c>
      <c r="L9" s="33" t="s">
        <v>169</v>
      </c>
      <c r="M9" s="34"/>
      <c r="N9" s="34" t="s">
        <v>96</v>
      </c>
      <c r="O9" s="34" t="s">
        <v>96</v>
      </c>
      <c r="P9" s="34" t="s">
        <v>96</v>
      </c>
      <c r="Q9" s="34" t="s">
        <v>169</v>
      </c>
      <c r="R9" s="34" t="s">
        <v>96</v>
      </c>
      <c r="S9" s="34" t="s">
        <v>96</v>
      </c>
      <c r="T9" s="34" t="s">
        <v>169</v>
      </c>
      <c r="U9" s="36" t="s">
        <v>169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/>
      <c r="D10" s="34"/>
      <c r="E10" s="34" t="s">
        <v>95</v>
      </c>
      <c r="F10" s="35" t="s">
        <v>97</v>
      </c>
      <c r="G10" s="34">
        <v>7</v>
      </c>
      <c r="H10" s="34" t="s">
        <v>158</v>
      </c>
      <c r="I10" s="153">
        <v>43997</v>
      </c>
      <c r="J10" s="162" t="s">
        <v>281</v>
      </c>
      <c r="K10">
        <v>2026</v>
      </c>
      <c r="L10" s="33" t="s">
        <v>88</v>
      </c>
      <c r="M10" s="34"/>
      <c r="N10" s="34" t="s">
        <v>169</v>
      </c>
      <c r="O10" s="34" t="s">
        <v>169</v>
      </c>
      <c r="P10" s="34" t="s">
        <v>169</v>
      </c>
      <c r="Q10" s="34" t="s">
        <v>154</v>
      </c>
      <c r="R10" s="34" t="s">
        <v>169</v>
      </c>
      <c r="S10" s="34" t="s">
        <v>169</v>
      </c>
      <c r="T10" s="34" t="s">
        <v>154</v>
      </c>
      <c r="U10" s="36" t="s">
        <v>154</v>
      </c>
      <c r="V10" s="33" t="s">
        <v>169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/>
      <c r="D11" s="34"/>
      <c r="E11" s="34" t="s">
        <v>141</v>
      </c>
      <c r="F11" s="35" t="s">
        <v>98</v>
      </c>
      <c r="G11" s="34">
        <v>8</v>
      </c>
      <c r="H11" s="34" t="s">
        <v>162</v>
      </c>
      <c r="I11" s="153">
        <v>44004</v>
      </c>
      <c r="J11" s="162" t="s">
        <v>282</v>
      </c>
      <c r="K11">
        <v>2027</v>
      </c>
      <c r="L11" s="33" t="s">
        <v>91</v>
      </c>
      <c r="M11" s="34"/>
      <c r="N11" s="34"/>
      <c r="O11" s="34"/>
      <c r="P11" s="34"/>
      <c r="Q11" s="34" t="s">
        <v>155</v>
      </c>
      <c r="R11" s="34" t="s">
        <v>154</v>
      </c>
      <c r="S11" s="34"/>
      <c r="T11" s="34" t="s">
        <v>155</v>
      </c>
      <c r="U11" s="36" t="s">
        <v>155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142</v>
      </c>
      <c r="F12" s="35" t="s">
        <v>99</v>
      </c>
      <c r="G12" s="34"/>
      <c r="H12" s="34" t="s">
        <v>159</v>
      </c>
      <c r="I12" s="153">
        <v>44011</v>
      </c>
      <c r="J12" s="162" t="s">
        <v>283</v>
      </c>
      <c r="K12">
        <v>2028</v>
      </c>
      <c r="L12" s="33"/>
      <c r="M12" s="34"/>
      <c r="N12" s="34"/>
      <c r="O12" s="34"/>
      <c r="P12" s="34"/>
      <c r="Q12" s="34" t="s">
        <v>138</v>
      </c>
      <c r="R12" s="34" t="s">
        <v>155</v>
      </c>
      <c r="S12" s="34"/>
      <c r="T12" s="34" t="s">
        <v>138</v>
      </c>
      <c r="U12" s="36" t="s">
        <v>138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172</v>
      </c>
      <c r="F13" s="35" t="s">
        <v>100</v>
      </c>
      <c r="G13" s="34"/>
      <c r="H13" s="34" t="s">
        <v>165</v>
      </c>
      <c r="I13" s="153">
        <v>44032</v>
      </c>
      <c r="J13" s="162" t="s">
        <v>284</v>
      </c>
      <c r="K13">
        <v>2029</v>
      </c>
      <c r="L13" s="33"/>
      <c r="M13" s="34"/>
      <c r="N13" s="34"/>
      <c r="O13" s="34"/>
      <c r="P13" s="34"/>
      <c r="Q13" s="34" t="s">
        <v>139</v>
      </c>
      <c r="R13" s="34"/>
      <c r="S13" s="34"/>
      <c r="T13" s="34" t="s">
        <v>139</v>
      </c>
      <c r="U13" s="36" t="s">
        <v>139</v>
      </c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156</v>
      </c>
      <c r="I14" s="153">
        <v>44050</v>
      </c>
      <c r="J14" s="162" t="s">
        <v>285</v>
      </c>
      <c r="K14">
        <v>2030</v>
      </c>
      <c r="L14" s="33"/>
      <c r="M14" s="34"/>
      <c r="N14" s="34"/>
      <c r="O14" s="34"/>
      <c r="P14" s="34"/>
      <c r="Q14" s="143" t="s">
        <v>140</v>
      </c>
      <c r="R14" s="34"/>
      <c r="S14" s="34"/>
      <c r="T14" s="143" t="s">
        <v>140</v>
      </c>
      <c r="U14" s="161" t="s">
        <v>140</v>
      </c>
      <c r="V14" s="33"/>
      <c r="W14" s="34"/>
      <c r="X14" s="34"/>
      <c r="Y14" s="34"/>
      <c r="Z14" s="34"/>
      <c r="AA14" s="143"/>
      <c r="AB14" s="34"/>
      <c r="AC14" s="34"/>
      <c r="AD14" s="143"/>
      <c r="AE14" s="161"/>
      <c r="AF14" s="33"/>
      <c r="AG14" s="34"/>
      <c r="AH14" s="34"/>
      <c r="AI14" s="34"/>
      <c r="AJ14" s="34"/>
      <c r="AK14" s="143"/>
      <c r="AL14" s="34"/>
      <c r="AM14" s="34"/>
      <c r="AN14" s="143"/>
      <c r="AO14" s="161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163</v>
      </c>
      <c r="I15" s="153">
        <v>44060</v>
      </c>
      <c r="J15" s="152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157</v>
      </c>
      <c r="I16" s="153">
        <v>44116</v>
      </c>
      <c r="J16" s="152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288</v>
      </c>
      <c r="I17" s="153">
        <v>44137</v>
      </c>
      <c r="J17" s="152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3">
        <v>44151</v>
      </c>
      <c r="J18" s="152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3">
        <v>44173</v>
      </c>
      <c r="J19" s="152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3">
        <v>44190</v>
      </c>
      <c r="J20" s="152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3"/>
      <c r="J21" s="152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36"/>
      <c r="J22" s="152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36"/>
      <c r="J23" s="152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36"/>
      <c r="J24" s="152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36"/>
      <c r="J25" s="152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36"/>
      <c r="J26" s="152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36"/>
      <c r="J27" s="152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36"/>
      <c r="J28" s="152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36"/>
      <c r="J29" s="152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36"/>
      <c r="J30" s="152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36"/>
      <c r="J31" s="152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36"/>
      <c r="J32" s="152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36"/>
      <c r="J33" s="152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36"/>
      <c r="J34" s="152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36"/>
      <c r="J35" s="152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36"/>
      <c r="J36" s="152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36"/>
      <c r="J37" s="152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36"/>
      <c r="J38" s="152"/>
    </row>
    <row r="39" spans="2:10" x14ac:dyDescent="0.25">
      <c r="B39" s="33"/>
      <c r="C39" s="34"/>
      <c r="D39" s="34"/>
      <c r="E39" s="34"/>
      <c r="F39" s="35" t="s">
        <v>173</v>
      </c>
      <c r="G39" s="34"/>
      <c r="H39" s="34"/>
      <c r="I39" s="36"/>
      <c r="J39" s="152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2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2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2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2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2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2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2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2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8" priority="3"/>
  </conditionalFormatting>
  <conditionalFormatting sqref="AE3:AE14">
    <cfRule type="duplicateValues" dxfId="47" priority="2"/>
  </conditionalFormatting>
  <conditionalFormatting sqref="AO3:AO14">
    <cfRule type="duplicateValues" dxfId="46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/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89" t="s">
        <v>143</v>
      </c>
      <c r="B5" s="289"/>
      <c r="C5" s="289"/>
      <c r="D5" s="290" t="str">
        <f>Plantilla!K11</f>
        <v>AGOSTO</v>
      </c>
      <c r="E5" s="290"/>
      <c r="F5" s="296" t="s">
        <v>144</v>
      </c>
      <c r="G5" s="297"/>
      <c r="H5" s="297"/>
      <c r="I5" s="297"/>
      <c r="J5" s="297"/>
      <c r="K5" s="297"/>
      <c r="L5" s="297"/>
      <c r="M5" s="297"/>
      <c r="N5" s="297"/>
      <c r="O5" s="298"/>
      <c r="P5" s="296" t="s">
        <v>168</v>
      </c>
      <c r="Q5" s="298"/>
      <c r="R5" s="296"/>
      <c r="S5" s="298"/>
    </row>
    <row r="6" spans="1:21" s="47" customFormat="1" ht="29.25" customHeight="1" x14ac:dyDescent="0.25">
      <c r="A6" s="291" t="s">
        <v>145</v>
      </c>
      <c r="B6" s="291" t="s">
        <v>146</v>
      </c>
      <c r="C6" s="291" t="s">
        <v>147</v>
      </c>
      <c r="D6" s="292" t="s">
        <v>148</v>
      </c>
      <c r="E6" s="292" t="s">
        <v>67</v>
      </c>
      <c r="F6" s="291" t="s">
        <v>0</v>
      </c>
      <c r="G6" s="294" t="s">
        <v>3</v>
      </c>
      <c r="H6" s="294" t="s">
        <v>4</v>
      </c>
      <c r="I6" s="294" t="s">
        <v>34</v>
      </c>
      <c r="J6" s="294" t="s">
        <v>35</v>
      </c>
      <c r="K6" s="294" t="s">
        <v>36</v>
      </c>
      <c r="L6" s="294" t="s">
        <v>37</v>
      </c>
      <c r="M6" s="294" t="s">
        <v>38</v>
      </c>
      <c r="N6" s="294" t="s">
        <v>5</v>
      </c>
      <c r="O6" s="299" t="s">
        <v>149</v>
      </c>
      <c r="P6" s="300"/>
      <c r="Q6" s="300"/>
      <c r="R6" s="301"/>
      <c r="S6" s="293" t="s">
        <v>47</v>
      </c>
    </row>
    <row r="7" spans="1:21" s="47" customFormat="1" ht="78.75" customHeight="1" x14ac:dyDescent="0.25">
      <c r="A7" s="291"/>
      <c r="B7" s="291"/>
      <c r="C7" s="291"/>
      <c r="D7" s="291"/>
      <c r="E7" s="291"/>
      <c r="F7" s="291"/>
      <c r="G7" s="295"/>
      <c r="H7" s="295"/>
      <c r="I7" s="295"/>
      <c r="J7" s="295"/>
      <c r="K7" s="295"/>
      <c r="L7" s="295"/>
      <c r="M7" s="295"/>
      <c r="N7" s="295"/>
      <c r="O7" s="48" t="s">
        <v>150</v>
      </c>
      <c r="P7" s="48" t="s">
        <v>151</v>
      </c>
      <c r="Q7" s="48" t="s">
        <v>152</v>
      </c>
      <c r="R7" s="48" t="s">
        <v>153</v>
      </c>
      <c r="S7" s="293"/>
    </row>
    <row r="8" spans="1:21" s="50" customFormat="1" ht="31.5" customHeight="1" x14ac:dyDescent="0.25">
      <c r="A8" s="291"/>
      <c r="B8" s="291"/>
      <c r="C8" s="291"/>
      <c r="D8" s="291"/>
      <c r="E8" s="291"/>
      <c r="F8" s="291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93"/>
    </row>
    <row r="9" spans="1:21" ht="36" customHeight="1" x14ac:dyDescent="0.25">
      <c r="A9" s="135">
        <v>1</v>
      </c>
      <c r="B9" s="136">
        <v>7704176</v>
      </c>
      <c r="C9" s="137" t="str">
        <f>IF(B9="","",VLOOKUP(B9,'BD Personal'!$A$6:$R$64,3,FALSE))&amp;" "&amp;IF(B9="","",VLOOKUP(B9,'BD Personal'!$A$6:$R$64,4,FALSE))</f>
        <v>Faiver Yovany Polania Ardila</v>
      </c>
      <c r="D9" s="137">
        <f>IF(B9="","",VLOOKUP(B9,'BD Personal'!$A$6:$R$64,17,FALSE))</f>
        <v>34</v>
      </c>
      <c r="E9" s="137">
        <f>IF(B9="","",VLOOKUP(B9,'BD Personal'!$A$6:$R$64,18,FALSE))</f>
        <v>3</v>
      </c>
      <c r="F9" s="137" t="str">
        <f>IF(B9="","",VLOOKUP(B9,'BD Personal'!$A$6:$R$64,11,FALSE))</f>
        <v>Inspector</v>
      </c>
      <c r="G9" s="138">
        <f ca="1">IF(B9="","",INDIRECT("'"&amp;VLOOKUP(B9,'BD Personal'!$A$6:$R$64,4,FALSE)&amp;"'!H56"))</f>
        <v>0</v>
      </c>
      <c r="H9" s="138">
        <f ca="1">IF(B9="","",INDIRECT("'"&amp;VLOOKUP(B9,'BD Personal'!$A$6:$R$64,4,FALSE)&amp;"'!I56"))</f>
        <v>0</v>
      </c>
      <c r="I9" s="138">
        <f ca="1">IF(B9="","",INDIRECT("'"&amp;VLOOKUP(B9,'BD Personal'!$A$6:$R$64,4,FALSE)&amp;"'!J56"))</f>
        <v>0</v>
      </c>
      <c r="J9" s="138">
        <f ca="1">IF(B9="","",INDIRECT("'"&amp;VLOOKUP(B9,'BD Personal'!$A$6:$R$64,4,FALSE)&amp;"'!K56"))</f>
        <v>0</v>
      </c>
      <c r="K9" s="138">
        <f ca="1">IF(B9="","",INDIRECT("'"&amp;VLOOKUP(B9,'BD Personal'!$A$6:$R$64,4,FALSE)&amp;"'!L56"))</f>
        <v>11</v>
      </c>
      <c r="L9" s="138">
        <f ca="1">IF(B9="","",INDIRECT("'"&amp;VLOOKUP(B9,'BD Personal'!$A$6:$R$64,4,FALSE)&amp;"'!M56"))</f>
        <v>5</v>
      </c>
      <c r="M9" s="138">
        <f ca="1">IF(B9="","",INDIRECT("'"&amp;VLOOKUP(B9,'BD Personal'!$A$6:$R$64,4,FALSE)&amp;"'!N56"))</f>
        <v>21</v>
      </c>
      <c r="N9" s="138">
        <f ca="1">IF(B9="","",INDIRECT("'"&amp;VLOOKUP(B9,'BD Personal'!$A$6:$R$64,4,FALSE)&amp;"'!O56"))</f>
        <v>0</v>
      </c>
      <c r="O9" s="139"/>
      <c r="P9" s="139"/>
      <c r="Q9" s="139"/>
      <c r="R9" s="139"/>
      <c r="S9" s="138">
        <f ca="1">IF(B9="","",INDIRECT("'"&amp;VLOOKUP(B9,'BD Personal'!$A$6:$R$91,4,FALSE)&amp;"'!H60"))</f>
        <v>0</v>
      </c>
      <c r="T9"/>
      <c r="U9" s="50"/>
    </row>
    <row r="10" spans="1:21" ht="36" customHeight="1" x14ac:dyDescent="0.25">
      <c r="A10" s="135">
        <v>2</v>
      </c>
      <c r="B10" s="139">
        <v>9897000</v>
      </c>
      <c r="C10" s="137" t="str">
        <f>IF(B10="","",VLOOKUP(B10,'BD Personal'!$A$6:$R$64,3,FALSE))&amp;" "&amp;IF(B10="","",VLOOKUP(B10,'BD Personal'!$A$6:$R$64,4,FALSE))</f>
        <v>pollo perez</v>
      </c>
      <c r="D10" s="137" t="str">
        <f>IF(B10="","",VLOOKUP(B10,'BD Personal'!$A$6:$R$64,17,FALSE))</f>
        <v>001</v>
      </c>
      <c r="E10" s="137" t="str">
        <f>IF(B10="","",VLOOKUP(B10,'BD Personal'!$A$6:$R$64,18,FALSE))</f>
        <v>1</v>
      </c>
      <c r="F10" s="137" t="str">
        <f>IF(B10="","",VLOOKUP(B10,'BD Personal'!$A$6:$R$64,11,FALSE))</f>
        <v>Finanzas</v>
      </c>
      <c r="G10" s="138">
        <f ca="1">IF(B10="","",INDIRECT("'"&amp;VLOOKUP(B10,'BD Personal'!$A$6:$R$64,4,FALSE)&amp;"'!H56"))</f>
        <v>3</v>
      </c>
      <c r="H10" s="138">
        <f ca="1">IF(B10="","",INDIRECT("'"&amp;VLOOKUP(B10,'BD Personal'!$A$6:$R$64,4,FALSE)&amp;"'!I56"))</f>
        <v>3</v>
      </c>
      <c r="I10" s="138">
        <f ca="1">IF(B10="","",INDIRECT("'"&amp;VLOOKUP(B10,'BD Personal'!$A$6:$R$64,4,FALSE)&amp;"'!J56"))</f>
        <v>0</v>
      </c>
      <c r="J10" s="138">
        <f ca="1">IF(B10="","",INDIRECT("'"&amp;VLOOKUP(B10,'BD Personal'!$A$6:$R$64,4,FALSE)&amp;"'!K56"))</f>
        <v>2.25</v>
      </c>
      <c r="K10" s="138">
        <f ca="1">IF(B10="","",INDIRECT("'"&amp;VLOOKUP(B10,'BD Personal'!$A$6:$R$64,4,FALSE)&amp;"'!L56"))</f>
        <v>0</v>
      </c>
      <c r="L10" s="138">
        <f ca="1">IF(B10="","",INDIRECT("'"&amp;VLOOKUP(B10,'BD Personal'!$A$6:$R$64,4,FALSE)&amp;"'!M56"))</f>
        <v>0</v>
      </c>
      <c r="M10" s="138">
        <f ca="1">IF(B10="","",INDIRECT("'"&amp;VLOOKUP(B10,'BD Personal'!$A$6:$R$64,4,FALSE)&amp;"'!N56"))</f>
        <v>0</v>
      </c>
      <c r="N10" s="138">
        <f ca="1">IF(B10="","",INDIRECT("'"&amp;VLOOKUP(B10,'BD Personal'!$A$6:$R$64,4,FALSE)&amp;"'!O56"))</f>
        <v>0</v>
      </c>
      <c r="O10" s="139"/>
      <c r="P10" s="139"/>
      <c r="Q10" s="139"/>
      <c r="R10" s="139"/>
      <c r="S10" s="138">
        <f ca="1">IF(B10="","",INDIRECT("'"&amp;VLOOKUP(B10,'BD Personal'!$A$6:$R$64,4,FALSE)&amp;"'!H60"))</f>
        <v>0</v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Personal'!$A$6:$R$91,3,FALSE))&amp;" "&amp;IF(B11="","",VLOOKUP(B11,'BD Personal'!$A$6:$R$91,4,FALSE))</f>
        <v xml:space="preserve"> </v>
      </c>
      <c r="D11" s="137" t="str">
        <f>IF(B11="","",VLOOKUP(B11,'BD Personal'!$A$6:$R$91,17,FALSE))</f>
        <v/>
      </c>
      <c r="E11" s="137" t="str">
        <f>IF(B11="","",VLOOKUP(B11,'BD Personal'!$A$6:$R$64,18,FALSE))</f>
        <v/>
      </c>
      <c r="F11" s="137" t="str">
        <f>IF(B11="","",VLOOKUP(B11,'BD Personal'!$A$6:$R$64,11,FALSE))</f>
        <v/>
      </c>
      <c r="G11" s="138" t="str">
        <f ca="1">IF(B11="","",INDIRECT("'"&amp;VLOOKUP(B11,'BD Personal'!$A$6:$R$91,4,FALSE)&amp;"'!H56"))</f>
        <v/>
      </c>
      <c r="H11" s="138" t="str">
        <f ca="1">IF(B11="","",INDIRECT("'"&amp;VLOOKUP(B11,'BD Personal'!$A$6:$R$91,4,FALSE)&amp;"'!I56"))</f>
        <v/>
      </c>
      <c r="I11" s="138" t="str">
        <f ca="1">IF(B11="","",INDIRECT("'"&amp;VLOOKUP(B11,'BD Personal'!$A$6:$R$91,4,FALSE)&amp;"'!J56"))</f>
        <v/>
      </c>
      <c r="J11" s="138" t="str">
        <f ca="1">IF(B11="","",INDIRECT("'"&amp;VLOOKUP(B11,'BD Personal'!$A$6:$R$91,4,FALSE)&amp;"'!K56"))</f>
        <v/>
      </c>
      <c r="K11" s="138" t="str">
        <f ca="1">IF(B11="","",INDIRECT("'"&amp;VLOOKUP(B11,'BD Personal'!$A$6:$R$91,4,FALSE)&amp;"'!L56"))</f>
        <v/>
      </c>
      <c r="L11" s="138" t="str">
        <f ca="1">IF(B11="","",INDIRECT("'"&amp;VLOOKUP(B11,'BD Personal'!$A$6:$R$91,4,FALSE)&amp;"'!M56"))</f>
        <v/>
      </c>
      <c r="M11" s="138" t="str">
        <f ca="1">IF(B11="","",INDIRECT("'"&amp;VLOOKUP(B11,'BD Personal'!$A$6:$R$91,4,FALSE)&amp;"'!N56"))</f>
        <v/>
      </c>
      <c r="N11" s="138" t="str">
        <f ca="1">IF(B11="","",INDIRECT("'"&amp;VLOOKUP(B11,'BD Personal'!$A$6:$R$91,4,FALSE)&amp;"'!O56"))</f>
        <v/>
      </c>
      <c r="O11" s="139"/>
      <c r="P11" s="139"/>
      <c r="Q11" s="139"/>
      <c r="R11" s="139"/>
      <c r="S11" s="138" t="str">
        <f ca="1">IF(B11="","",INDIRECT("'"&amp;VLOOKUP(B11,'BD Personal'!$A$6:$R$91,4,FALSE)&amp;"'!H60"))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Personal'!$A$6:$R$91,3,FALSE))&amp;" "&amp;IF(B12="","",VLOOKUP(B12,'BD Personal'!$A$6:$R$91,4,FALSE))</f>
        <v xml:space="preserve"> </v>
      </c>
      <c r="D12" s="137" t="str">
        <f>IF(B12="","",VLOOKUP(B12,'BD Personal'!$A$6:$R$64,17,FALSE))</f>
        <v/>
      </c>
      <c r="E12" s="137" t="str">
        <f>IF(B12="","",VLOOKUP(B12,'BD Personal'!$A$6:$R$64,18,FALSE))</f>
        <v/>
      </c>
      <c r="F12" s="137" t="str">
        <f>IF(B12="","",VLOOKUP(B12,'BD Personal'!$A$6:$R$64,11,FALSE))</f>
        <v/>
      </c>
      <c r="G12" s="138" t="str">
        <f ca="1">IF(B12="","",INDIRECT("'"&amp;VLOOKUP(B12,'BD Personal'!$A$6:$R$64,4,FALSE)&amp;"'!H56"))</f>
        <v/>
      </c>
      <c r="H12" s="138" t="str">
        <f ca="1">IF(B12="","",INDIRECT("'"&amp;VLOOKUP(B12,'BD Personal'!$A$6:$R$64,4,FALSE)&amp;"'!I56"))</f>
        <v/>
      </c>
      <c r="I12" s="138" t="str">
        <f ca="1">IF(B12="","",INDIRECT("'"&amp;VLOOKUP(B12,'BD Personal'!$A$6:$R$64,4,FALSE)&amp;"'!J56"))</f>
        <v/>
      </c>
      <c r="J12" s="138" t="str">
        <f ca="1">IF(B12="","",INDIRECT("'"&amp;VLOOKUP(B12,'BD Personal'!$A$6:$R$64,4,FALSE)&amp;"'!K56"))</f>
        <v/>
      </c>
      <c r="K12" s="138" t="str">
        <f ca="1">IF(B12="","",INDIRECT("'"&amp;VLOOKUP(B12,'BD Personal'!$A$6:$R$64,4,FALSE)&amp;"'!L56"))</f>
        <v/>
      </c>
      <c r="L12" s="138" t="str">
        <f ca="1">IF(B12="","",INDIRECT("'"&amp;VLOOKUP(B12,'BD Personal'!$A$6:$R$64,4,FALSE)&amp;"'!M56"))</f>
        <v/>
      </c>
      <c r="M12" s="138" t="str">
        <f ca="1">IF(B12="","",INDIRECT("'"&amp;VLOOKUP(B12,'BD Personal'!$A$6:$R$64,4,FALSE)&amp;"'!N56"))</f>
        <v/>
      </c>
      <c r="N12" s="138" t="str">
        <f ca="1">IF(B12="","",INDIRECT("'"&amp;VLOOKUP(B12,'BD Personal'!$A$6:$R$64,4,FALSE)&amp;"'!O56"))</f>
        <v/>
      </c>
      <c r="O12" s="139"/>
      <c r="P12" s="139"/>
      <c r="Q12" s="139"/>
      <c r="R12" s="139"/>
      <c r="S12" s="138" t="str">
        <f ca="1">IF(B12="","",INDIRECT("'"&amp;VLOOKUP(B12,'BD Personal'!$A$6:$R$64,4,FALSE)&amp;"'!H60"))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Personal'!$A$6:$R$91,3,FALSE))&amp;" "&amp;IF(B13="","",VLOOKUP(B13,'BD Personal'!$A$6:$R$91,4,FALSE))</f>
        <v xml:space="preserve"> </v>
      </c>
      <c r="D13" s="137" t="str">
        <f>IF(B13="","",VLOOKUP(B13,'BD Personal'!$A$6:$R$64,17,FALSE))</f>
        <v/>
      </c>
      <c r="E13" s="137" t="str">
        <f>IF(B13="","",VLOOKUP(B13,'BD Personal'!$A$6:$R$64,18,FALSE))</f>
        <v/>
      </c>
      <c r="F13" s="137" t="str">
        <f>IF(B13="","",VLOOKUP(B13,'BD Personal'!$A$6:$R$64,11,FALSE))</f>
        <v/>
      </c>
      <c r="G13" s="138" t="str">
        <f ca="1">IF(B13="","",INDIRECT("'"&amp;VLOOKUP(B13,'BD Personal'!$A$6:$R$64,4,FALSE)&amp;"'!H56"))</f>
        <v/>
      </c>
      <c r="H13" s="138" t="str">
        <f ca="1">IF(B13="","",INDIRECT("'"&amp;VLOOKUP(B13,'BD Personal'!$A$6:$R$64,4,FALSE)&amp;"'!I56"))</f>
        <v/>
      </c>
      <c r="I13" s="138" t="str">
        <f ca="1">IF(B13="","",INDIRECT("'"&amp;VLOOKUP(B13,'BD Personal'!$A$6:$R$64,4,FALSE)&amp;"'!J56"))</f>
        <v/>
      </c>
      <c r="J13" s="138" t="str">
        <f ca="1">IF(B13="","",INDIRECT("'"&amp;VLOOKUP(B13,'BD Personal'!$A$6:$R$64,4,FALSE)&amp;"'!K56"))</f>
        <v/>
      </c>
      <c r="K13" s="138" t="str">
        <f ca="1">IF(B13="","",INDIRECT("'"&amp;VLOOKUP(B13,'BD Personal'!$A$6:$R$64,4,FALSE)&amp;"'!L56"))</f>
        <v/>
      </c>
      <c r="L13" s="138" t="str">
        <f ca="1">IF(B13="","",INDIRECT("'"&amp;VLOOKUP(B13,'BD Personal'!$A$6:$R$64,4,FALSE)&amp;"'!M56"))</f>
        <v/>
      </c>
      <c r="M13" s="138" t="str">
        <f ca="1">IF(B13="","",INDIRECT("'"&amp;VLOOKUP(B13,'BD Personal'!$A$6:$R$64,4,FALSE)&amp;"'!N56"))</f>
        <v/>
      </c>
      <c r="N13" s="138" t="str">
        <f ca="1">IF(B13="","",INDIRECT("'"&amp;VLOOKUP(B13,'BD Personal'!$A$6:$R$64,4,FALSE)&amp;"'!O56"))</f>
        <v/>
      </c>
      <c r="O13" s="139"/>
      <c r="P13" s="139"/>
      <c r="Q13" s="139"/>
      <c r="R13" s="139"/>
      <c r="S13" s="138" t="str">
        <f ca="1">IF(B13="","",INDIRECT("'"&amp;VLOOKUP(B13,'BD Personal'!$A$6:$R$64,4,FALSE)&amp;"'!H60"))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Personal'!$A$6:$R$91,3,FALSE))&amp;" "&amp;IF(B14="","",VLOOKUP(B14,'BD Personal'!$A$6:$R$91,4,FALSE))</f>
        <v xml:space="preserve"> </v>
      </c>
      <c r="D14" s="137" t="str">
        <f>IF(B14="","",VLOOKUP(B14,'BD Personal'!$A$6:$R$64,17,FALSE))</f>
        <v/>
      </c>
      <c r="E14" s="137" t="str">
        <f>IF(B14="","",VLOOKUP(B14,'BD Personal'!$A$6:$R$64,18,FALSE))</f>
        <v/>
      </c>
      <c r="F14" s="137" t="str">
        <f>IF(B14="","",VLOOKUP(B14,'BD Personal'!$A$6:$R$64,11,FALSE))</f>
        <v/>
      </c>
      <c r="G14" s="138" t="str">
        <f ca="1">IF(B14="","",INDIRECT("'"&amp;VLOOKUP(B14,'BD Personal'!$A$6:$R$64,4,FALSE)&amp;"'!H56"))</f>
        <v/>
      </c>
      <c r="H14" s="138" t="str">
        <f ca="1">IF(B14="","",INDIRECT("'"&amp;VLOOKUP(B14,'BD Personal'!$A$6:$R$64,4,FALSE)&amp;"'!I56"))</f>
        <v/>
      </c>
      <c r="I14" s="138" t="str">
        <f ca="1">IF(B14="","",INDIRECT("'"&amp;VLOOKUP(B14,'BD Personal'!$A$6:$R$64,4,FALSE)&amp;"'!J56"))</f>
        <v/>
      </c>
      <c r="J14" s="138" t="str">
        <f ca="1">IF(B14="","",INDIRECT("'"&amp;VLOOKUP(B14,'BD Personal'!$A$6:$R$64,4,FALSE)&amp;"'!K56"))</f>
        <v/>
      </c>
      <c r="K14" s="138" t="str">
        <f ca="1">IF(B14="","",INDIRECT("'"&amp;VLOOKUP(B14,'BD Personal'!$A$6:$R$64,4,FALSE)&amp;"'!L56"))</f>
        <v/>
      </c>
      <c r="L14" s="138" t="str">
        <f ca="1">IF(B14="","",INDIRECT("'"&amp;VLOOKUP(B14,'BD Personal'!$A$6:$R$64,4,FALSE)&amp;"'!M56"))</f>
        <v/>
      </c>
      <c r="M14" s="138" t="str">
        <f ca="1">IF(B14="","",INDIRECT("'"&amp;VLOOKUP(B14,'BD Personal'!$A$6:$R$64,4,FALSE)&amp;"'!N56"))</f>
        <v/>
      </c>
      <c r="N14" s="138" t="str">
        <f ca="1">IF(B14="","",INDIRECT("'"&amp;VLOOKUP(B14,'BD Personal'!$A$6:$R$64,4,FALSE)&amp;"'!O56"))</f>
        <v/>
      </c>
      <c r="O14" s="139"/>
      <c r="P14" s="139"/>
      <c r="Q14" s="139"/>
      <c r="R14" s="139"/>
      <c r="S14" s="138" t="str">
        <f ca="1">IF(B14="","",INDIRECT("'"&amp;VLOOKUP(B14,'BD Personal'!$A$6:$R$64,4,FALSE)&amp;"'!H60"))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Personal'!$A$6:$R$91,3,FALSE))&amp;" "&amp;IF(B15="","",VLOOKUP(B15,'BD Personal'!$A$6:$R$91,4,FALSE))</f>
        <v xml:space="preserve"> </v>
      </c>
      <c r="D15" s="137" t="str">
        <f>IF(B15="","",VLOOKUP(B15,'BD Personal'!$A$6:$R$64,17,FALSE))</f>
        <v/>
      </c>
      <c r="E15" s="137" t="str">
        <f>IF(B15="","",VLOOKUP(B15,'BD Personal'!$A$6:$R$64,18,FALSE))</f>
        <v/>
      </c>
      <c r="F15" s="137" t="str">
        <f>IF(B15="","",VLOOKUP(B15,'BD Personal'!$A$6:$R$64,11,FALSE))</f>
        <v/>
      </c>
      <c r="G15" s="138" t="str">
        <f ca="1">IF(B15="","",INDIRECT("'"&amp;VLOOKUP(B15,'BD Personal'!$A$6:$R$64,4,FALSE)&amp;"'!H56"))</f>
        <v/>
      </c>
      <c r="H15" s="138" t="str">
        <f ca="1">IF(B15="","",INDIRECT("'"&amp;VLOOKUP(B15,'BD Personal'!$A$6:$R$64,4,FALSE)&amp;"'!I56"))</f>
        <v/>
      </c>
      <c r="I15" s="138" t="str">
        <f ca="1">IF(B15="","",INDIRECT("'"&amp;VLOOKUP(B15,'BD Personal'!$A$6:$R$64,4,FALSE)&amp;"'!J56"))</f>
        <v/>
      </c>
      <c r="J15" s="138" t="str">
        <f ca="1">IF(B15="","",INDIRECT("'"&amp;VLOOKUP(B15,'BD Personal'!$A$6:$R$64,4,FALSE)&amp;"'!K56"))</f>
        <v/>
      </c>
      <c r="K15" s="138" t="str">
        <f ca="1">IF(B15="","",INDIRECT("'"&amp;VLOOKUP(B15,'BD Personal'!$A$6:$R$64,4,FALSE)&amp;"'!L56"))</f>
        <v/>
      </c>
      <c r="L15" s="138" t="str">
        <f ca="1">IF(B15="","",INDIRECT("'"&amp;VLOOKUP(B15,'BD Personal'!$A$6:$R$64,4,FALSE)&amp;"'!M56"))</f>
        <v/>
      </c>
      <c r="M15" s="138" t="str">
        <f ca="1">IF(B15="","",INDIRECT("'"&amp;VLOOKUP(B15,'BD Personal'!$A$6:$R$64,4,FALSE)&amp;"'!N56"))</f>
        <v/>
      </c>
      <c r="N15" s="138" t="str">
        <f ca="1">IF(B15="","",INDIRECT("'"&amp;VLOOKUP(B15,'BD Personal'!$A$6:$R$64,4,FALSE)&amp;"'!O56"))</f>
        <v/>
      </c>
      <c r="O15" s="139"/>
      <c r="P15" s="139"/>
      <c r="Q15" s="139"/>
      <c r="R15" s="139"/>
      <c r="S15" s="138" t="str">
        <f ca="1">IF(B15="","",INDIRECT("'"&amp;VLOOKUP(B15,'BD Personal'!$A$6:$R$64,4,FALSE)&amp;"'!H60"))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Personal'!$A$6:$R$91,3,FALSE))&amp;" "&amp;IF(B16="","",VLOOKUP(B16,'BD Personal'!$A$6:$R$91,4,FALSE))</f>
        <v xml:space="preserve"> </v>
      </c>
      <c r="D16" s="137" t="str">
        <f>IF(B16="","",VLOOKUP(B16,'BD Personal'!$A$6:$R$64,17,FALSE))</f>
        <v/>
      </c>
      <c r="E16" s="137" t="str">
        <f>IF(B16="","",VLOOKUP(B16,'BD Personal'!$A$6:$R$64,18,FALSE))</f>
        <v/>
      </c>
      <c r="F16" s="137" t="str">
        <f>IF(B16="","",VLOOKUP(B16,'BD Personal'!$A$6:$R$64,11,FALSE))</f>
        <v/>
      </c>
      <c r="G16" s="138" t="str">
        <f ca="1">IF(B16="","",INDIRECT("'"&amp;VLOOKUP(B16,'BD Personal'!$A$6:$R$64,4,FALSE)&amp;"'!H56"))</f>
        <v/>
      </c>
      <c r="H16" s="138" t="str">
        <f ca="1">IF(B16="","",INDIRECT("'"&amp;VLOOKUP(B16,'BD Personal'!$A$6:$R$64,4,FALSE)&amp;"'!I56"))</f>
        <v/>
      </c>
      <c r="I16" s="138" t="str">
        <f ca="1">IF(B16="","",INDIRECT("'"&amp;VLOOKUP(B16,'BD Personal'!$A$6:$R$64,4,FALSE)&amp;"'!J56"))</f>
        <v/>
      </c>
      <c r="J16" s="138" t="str">
        <f ca="1">IF(B16="","",INDIRECT("'"&amp;VLOOKUP(B16,'BD Personal'!$A$6:$R$64,4,FALSE)&amp;"'!K56"))</f>
        <v/>
      </c>
      <c r="K16" s="138" t="str">
        <f ca="1">IF(B16="","",INDIRECT("'"&amp;VLOOKUP(B16,'BD Personal'!$A$6:$R$64,4,FALSE)&amp;"'!L56"))</f>
        <v/>
      </c>
      <c r="L16" s="138" t="str">
        <f ca="1">IF(B16="","",INDIRECT("'"&amp;VLOOKUP(B16,'BD Personal'!$A$6:$R$64,4,FALSE)&amp;"'!M56"))</f>
        <v/>
      </c>
      <c r="M16" s="138" t="str">
        <f ca="1">IF(B16="","",INDIRECT("'"&amp;VLOOKUP(B16,'BD Personal'!$A$6:$R$64,4,FALSE)&amp;"'!N56"))</f>
        <v/>
      </c>
      <c r="N16" s="138" t="str">
        <f ca="1">IF(B16="","",INDIRECT("'"&amp;VLOOKUP(B16,'BD Personal'!$A$6:$R$64,4,FALSE)&amp;"'!O56"))</f>
        <v/>
      </c>
      <c r="O16" s="139"/>
      <c r="P16" s="139"/>
      <c r="Q16" s="139"/>
      <c r="R16" s="139"/>
      <c r="S16" s="138" t="str">
        <f ca="1">IF(B16="","",INDIRECT("'"&amp;VLOOKUP(B16,'BD Personal'!$A$6:$R$64,4,FALSE)&amp;"'!H60"))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Personal'!$A$6:$R$91,3,FALSE))&amp;" "&amp;IF(B17="","",VLOOKUP(B17,'BD Personal'!$A$6:$R$91,4,FALSE))</f>
        <v xml:space="preserve"> </v>
      </c>
      <c r="D17" s="141" t="str">
        <f>IF(B17="","",VLOOKUP(B17,'BD Personal'!$A$6:$R$64,17,FALSE))</f>
        <v/>
      </c>
      <c r="E17" s="141" t="str">
        <f>IF(B17="","",VLOOKUP(B17,'BD Personal'!$A$6:$R$64,18,FALSE))</f>
        <v/>
      </c>
      <c r="F17" s="141" t="str">
        <f>IF(B17="","",VLOOKUP(B17,'BD Personal'!$A$6:$R$64,11,FALSE))</f>
        <v/>
      </c>
      <c r="G17" s="138" t="str">
        <f ca="1">IF(B17="","",INDIRECT("'"&amp;VLOOKUP(B17,'BD Personal'!$A$6:$R$64,4,FALSE)&amp;"'!H56"))</f>
        <v/>
      </c>
      <c r="H17" s="138" t="str">
        <f ca="1">IF(B17="","",INDIRECT("'"&amp;VLOOKUP(B17,'BD Personal'!$A$6:$R$64,4,FALSE)&amp;"'!I56"))</f>
        <v/>
      </c>
      <c r="I17" s="138" t="str">
        <f ca="1">IF(B17="","",INDIRECT("'"&amp;VLOOKUP(B17,'BD Personal'!$A$6:$R$64,4,FALSE)&amp;"'!J56"))</f>
        <v/>
      </c>
      <c r="J17" s="138" t="str">
        <f ca="1">IF(B17="","",INDIRECT("'"&amp;VLOOKUP(B17,'BD Personal'!$A$6:$R$64,4,FALSE)&amp;"'!K56"))</f>
        <v/>
      </c>
      <c r="K17" s="138" t="str">
        <f ca="1">IF(B17="","",INDIRECT("'"&amp;VLOOKUP(B17,'BD Personal'!$A$6:$R$64,4,FALSE)&amp;"'!L56"))</f>
        <v/>
      </c>
      <c r="L17" s="138" t="str">
        <f ca="1">IF(B17="","",INDIRECT("'"&amp;VLOOKUP(B17,'BD Personal'!$A$6:$R$64,4,FALSE)&amp;"'!M56"))</f>
        <v/>
      </c>
      <c r="M17" s="138" t="str">
        <f ca="1">IF(B17="","",INDIRECT("'"&amp;VLOOKUP(B17,'BD Personal'!$A$6:$R$64,4,FALSE)&amp;"'!N56"))</f>
        <v/>
      </c>
      <c r="N17" s="138" t="str">
        <f ca="1">IF(B17="","",INDIRECT("'"&amp;VLOOKUP(B17,'BD Personal'!$A$6:$R$64,4,FALSE)&amp;"'!O56"))</f>
        <v/>
      </c>
      <c r="O17" s="139"/>
      <c r="P17" s="139"/>
      <c r="Q17" s="139"/>
      <c r="R17" s="139"/>
      <c r="S17" s="138" t="str">
        <f ca="1">IF(B17="","",INDIRECT("'"&amp;VLOOKUP(B17,'BD Personal'!$A$6:$R$64,4,FALSE)&amp;"'!H60"))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Personal'!$A$6:$R$91,3,FALSE))&amp;" "&amp;IF(B18="","",VLOOKUP(B18,'BD Personal'!$A$6:$R$91,4,FALSE))</f>
        <v xml:space="preserve"> </v>
      </c>
      <c r="D18" s="141" t="str">
        <f>IF(B18="","",VLOOKUP(B18,'BD Personal'!$A$6:$R$64,17,FALSE))</f>
        <v/>
      </c>
      <c r="E18" s="141" t="str">
        <f>IF(B18="","",VLOOKUP(B18,'BD Personal'!$A$6:$R$64,18,FALSE))</f>
        <v/>
      </c>
      <c r="F18" s="141" t="str">
        <f>IF(B18="","",VLOOKUP(B18,'BD Personal'!$A$6:$R$64,11,FALSE))</f>
        <v/>
      </c>
      <c r="G18" s="138" t="str">
        <f ca="1">IF(B18="","",INDIRECT("'"&amp;VLOOKUP(B18,'BD Personal'!$A$6:$R$64,4,FALSE)&amp;"'!H56"))</f>
        <v/>
      </c>
      <c r="H18" s="138" t="str">
        <f ca="1">IF(B18="","",INDIRECT("'"&amp;VLOOKUP(B18,'BD Personal'!$A$6:$R$64,4,FALSE)&amp;"'!I56"))</f>
        <v/>
      </c>
      <c r="I18" s="138" t="str">
        <f ca="1">IF(B18="","",INDIRECT("'"&amp;VLOOKUP(B18,'BD Personal'!$A$6:$R$64,4,FALSE)&amp;"'!J56"))</f>
        <v/>
      </c>
      <c r="J18" s="138" t="str">
        <f ca="1">IF(B18="","",INDIRECT("'"&amp;VLOOKUP(B18,'BD Personal'!$A$6:$R$64,4,FALSE)&amp;"'!K56"))</f>
        <v/>
      </c>
      <c r="K18" s="138" t="str">
        <f ca="1">IF(B18="","",INDIRECT("'"&amp;VLOOKUP(B18,'BD Personal'!$A$6:$R$64,4,FALSE)&amp;"'!L56"))</f>
        <v/>
      </c>
      <c r="L18" s="138" t="str">
        <f ca="1">IF(B18="","",INDIRECT("'"&amp;VLOOKUP(B18,'BD Personal'!$A$6:$R$64,4,FALSE)&amp;"'!M56"))</f>
        <v/>
      </c>
      <c r="M18" s="138" t="str">
        <f ca="1">IF(B18="","",INDIRECT("'"&amp;VLOOKUP(B18,'BD Personal'!$A$6:$R$64,4,FALSE)&amp;"'!N56"))</f>
        <v/>
      </c>
      <c r="N18" s="138" t="str">
        <f ca="1">IF(B18="","",INDIRECT("'"&amp;VLOOKUP(B18,'BD Personal'!$A$6:$R$64,4,FALSE)&amp;"'!O56"))</f>
        <v/>
      </c>
      <c r="O18" s="139"/>
      <c r="P18" s="139"/>
      <c r="Q18" s="139"/>
      <c r="R18" s="139"/>
      <c r="S18" s="138" t="str">
        <f ca="1">IF(B18="","",INDIRECT("'"&amp;VLOOKUP(B18,'BD Personal'!$A$6:$R$64,4,FALSE)&amp;"'!H60"))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Personal'!$A$6:$R$91,3,FALSE))&amp;" "&amp;IF(B19="","",VLOOKUP(B19,'BD Personal'!$A$6:$R$91,4,FALSE))</f>
        <v xml:space="preserve"> </v>
      </c>
      <c r="D19" s="141" t="str">
        <f>IF(B19="","",VLOOKUP(B19,'BD Personal'!$A$6:$R$64,17,FALSE))</f>
        <v/>
      </c>
      <c r="E19" s="141" t="str">
        <f>IF(B19="","",VLOOKUP(B19,'BD Personal'!$A$6:$R$64,18,FALSE))</f>
        <v/>
      </c>
      <c r="F19" s="141" t="str">
        <f>IF(B19="","",VLOOKUP(B19,'BD Personal'!$A$6:$R$64,11,FALSE))</f>
        <v/>
      </c>
      <c r="G19" s="138" t="str">
        <f ca="1">IF(B19="","",INDIRECT("'"&amp;VLOOKUP(B19,'BD Personal'!$A$6:$R$64,4,FALSE)&amp;"'!H56"))</f>
        <v/>
      </c>
      <c r="H19" s="138" t="str">
        <f ca="1">IF(B19="","",INDIRECT("'"&amp;VLOOKUP(B19,'BD Personal'!$A$6:$R$64,4,FALSE)&amp;"'!I56"))</f>
        <v/>
      </c>
      <c r="I19" s="138" t="str">
        <f ca="1">IF(B19="","",INDIRECT("'"&amp;VLOOKUP(B19,'BD Personal'!$A$6:$R$64,4,FALSE)&amp;"'!J56"))</f>
        <v/>
      </c>
      <c r="J19" s="138" t="str">
        <f ca="1">IF(B19="","",INDIRECT("'"&amp;VLOOKUP(B19,'BD Personal'!$A$6:$R$64,4,FALSE)&amp;"'!K56"))</f>
        <v/>
      </c>
      <c r="K19" s="138" t="str">
        <f ca="1">IF(B19="","",INDIRECT("'"&amp;VLOOKUP(B19,'BD Personal'!$A$6:$R$64,4,FALSE)&amp;"'!L56"))</f>
        <v/>
      </c>
      <c r="L19" s="138" t="str">
        <f ca="1">IF(B19="","",INDIRECT("'"&amp;VLOOKUP(B19,'BD Personal'!$A$6:$R$64,4,FALSE)&amp;"'!M56"))</f>
        <v/>
      </c>
      <c r="M19" s="138" t="str">
        <f ca="1">IF(B19="","",INDIRECT("'"&amp;VLOOKUP(B19,'BD Personal'!$A$6:$R$64,4,FALSE)&amp;"'!N56"))</f>
        <v/>
      </c>
      <c r="N19" s="138" t="str">
        <f ca="1">IF(B19="","",INDIRECT("'"&amp;VLOOKUP(B19,'BD Personal'!$A$6:$R$64,4,FALSE)&amp;"'!O56"))</f>
        <v/>
      </c>
      <c r="O19" s="139"/>
      <c r="P19" s="139"/>
      <c r="Q19" s="139"/>
      <c r="R19" s="139"/>
      <c r="S19" s="138" t="str">
        <f ca="1">IF(B19="","",INDIRECT("'"&amp;VLOOKUP(B19,'BD Personal'!$A$6:$R$64,4,FALSE)&amp;"'!H60"))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Personal'!$A$6:$R$64,3,FALSE))&amp;" "&amp;IF(B20="","",VLOOKUP(B20,'BD Personal'!$A$6:$R$64,4,FALSE))</f>
        <v xml:space="preserve"> </v>
      </c>
      <c r="D20" s="141" t="str">
        <f>IF(B20="","",VLOOKUP(B20,'BD Personal'!$A$6:$R$64,17,FALSE))</f>
        <v/>
      </c>
      <c r="E20" s="141" t="str">
        <f>IF(B20="","",VLOOKUP(B20,'BD Personal'!$A$6:$R$64,18,FALSE))</f>
        <v/>
      </c>
      <c r="F20" s="141" t="str">
        <f>IF(B20="","",VLOOKUP(B20,'BD Personal'!$A$6:$R$64,11,FALSE))</f>
        <v/>
      </c>
      <c r="G20" s="138" t="str">
        <f ca="1">IF(B20="","",INDIRECT("'"&amp;VLOOKUP(B20,'BD Personal'!$A$6:$R$64,4,FALSE)&amp;"'!H56"))</f>
        <v/>
      </c>
      <c r="H20" s="138" t="str">
        <f ca="1">IF(B20="","",INDIRECT("'"&amp;VLOOKUP(B20,'BD Personal'!$A$6:$R$64,4,FALSE)&amp;"'!I56"))</f>
        <v/>
      </c>
      <c r="I20" s="138" t="str">
        <f ca="1">IF(B20="","",INDIRECT("'"&amp;VLOOKUP(B20,'BD Personal'!$A$6:$R$64,4,FALSE)&amp;"'!J56"))</f>
        <v/>
      </c>
      <c r="J20" s="138" t="str">
        <f ca="1">IF(B20="","",INDIRECT("'"&amp;VLOOKUP(B20,'BD Personal'!$A$6:$R$64,4,FALSE)&amp;"'!K56"))</f>
        <v/>
      </c>
      <c r="K20" s="138" t="str">
        <f ca="1">IF(B20="","",INDIRECT("'"&amp;VLOOKUP(B20,'BD Personal'!$A$6:$R$64,4,FALSE)&amp;"'!L56"))</f>
        <v/>
      </c>
      <c r="L20" s="138" t="str">
        <f ca="1">IF(B20="","",INDIRECT("'"&amp;VLOOKUP(B20,'BD Personal'!$A$6:$R$64,4,FALSE)&amp;"'!M56"))</f>
        <v/>
      </c>
      <c r="M20" s="138" t="str">
        <f ca="1">IF(B20="","",INDIRECT("'"&amp;VLOOKUP(B20,'BD Personal'!$A$6:$R$64,4,FALSE)&amp;"'!N56"))</f>
        <v/>
      </c>
      <c r="N20" s="138" t="str">
        <f ca="1">IF(B20="","",INDIRECT("'"&amp;VLOOKUP(B20,'BD Personal'!$A$6:$R$64,4,FALSE)&amp;"'!O56"))</f>
        <v/>
      </c>
      <c r="O20" s="139"/>
      <c r="P20" s="139"/>
      <c r="Q20" s="139"/>
      <c r="R20" s="139"/>
      <c r="S20" s="138" t="str">
        <f ca="1">IF(B20="","",INDIRECT("'"&amp;VLOOKUP(B20,'BD Personal'!$A$6:$R$64,4,FALSE)&amp;"'!H60"))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Personal'!$A$6:$R$64,3,FALSE))&amp;" "&amp;IF(B21="","",VLOOKUP(B21,'BD Personal'!$A$6:$R$64,4,FALSE))</f>
        <v xml:space="preserve"> </v>
      </c>
      <c r="D21" s="141" t="str">
        <f>IF(B21="","",VLOOKUP(B21,'BD Personal'!$A$6:$R$64,17,FALSE))</f>
        <v/>
      </c>
      <c r="E21" s="141" t="str">
        <f>IF(B21="","",VLOOKUP(B21,'BD Personal'!$A$6:$R$64,18,FALSE))</f>
        <v/>
      </c>
      <c r="F21" s="141" t="str">
        <f>IF(B21="","",VLOOKUP(B21,'BD Personal'!$A$6:$R$64,11,FALSE))</f>
        <v/>
      </c>
      <c r="G21" s="138" t="str">
        <f ca="1">IF(B21="","",INDIRECT("'"&amp;VLOOKUP(B21,'BD Personal'!$A$6:$R$64,4,FALSE)&amp;"'!H56"))</f>
        <v/>
      </c>
      <c r="H21" s="138" t="str">
        <f ca="1">IF(B21="","",INDIRECT("'"&amp;VLOOKUP(B21,'BD Personal'!$A$6:$R$64,4,FALSE)&amp;"'!I56"))</f>
        <v/>
      </c>
      <c r="I21" s="138" t="str">
        <f ca="1">IF(B21="","",INDIRECT("'"&amp;VLOOKUP(B21,'BD Personal'!$A$6:$R$64,4,FALSE)&amp;"'!J56"))</f>
        <v/>
      </c>
      <c r="J21" s="138" t="str">
        <f ca="1">IF(B21="","",INDIRECT("'"&amp;VLOOKUP(B21,'BD Personal'!$A$6:$R$64,4,FALSE)&amp;"'!K56"))</f>
        <v/>
      </c>
      <c r="K21" s="138" t="str">
        <f ca="1">IF(B21="","",INDIRECT("'"&amp;VLOOKUP(B21,'BD Personal'!$A$6:$R$64,4,FALSE)&amp;"'!L56"))</f>
        <v/>
      </c>
      <c r="L21" s="138" t="str">
        <f ca="1">IF(B21="","",INDIRECT("'"&amp;VLOOKUP(B21,'BD Personal'!$A$6:$R$64,4,FALSE)&amp;"'!M56"))</f>
        <v/>
      </c>
      <c r="M21" s="138" t="str">
        <f ca="1">IF(B21="","",INDIRECT("'"&amp;VLOOKUP(B21,'BD Personal'!$A$6:$R$64,4,FALSE)&amp;"'!N56"))</f>
        <v/>
      </c>
      <c r="N21" s="138" t="str">
        <f ca="1">IF(B21="","",INDIRECT("'"&amp;VLOOKUP(B21,'BD Personal'!$A$6:$R$64,4,FALSE)&amp;"'!O56"))</f>
        <v/>
      </c>
      <c r="O21" s="139"/>
      <c r="P21" s="139"/>
      <c r="Q21" s="139"/>
      <c r="R21" s="139"/>
      <c r="S21" s="138" t="str">
        <f ca="1">IF(B21="","",INDIRECT("'"&amp;VLOOKUP(B21,'BD Personal'!$A$6:$R$64,4,FALSE)&amp;"'!H60"))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Personal'!$A$6:$R$64,3,FALSE))&amp;" "&amp;IF(B22="","",VLOOKUP(B22,'BD Personal'!$A$6:$R$64,4,FALSE))</f>
        <v xml:space="preserve"> </v>
      </c>
      <c r="D22" s="141" t="str">
        <f>IF(B22="","",VLOOKUP(B22,'BD Personal'!$A$6:$R$64,17,FALSE))</f>
        <v/>
      </c>
      <c r="E22" s="141" t="str">
        <f>IF(B22="","",VLOOKUP(B22,'BD Personal'!$A$6:$R$64,18,FALSE))</f>
        <v/>
      </c>
      <c r="F22" s="141" t="str">
        <f>IF(B22="","",VLOOKUP(B22,'BD Personal'!$A$6:$R$64,11,FALSE))</f>
        <v/>
      </c>
      <c r="G22" s="138" t="str">
        <f ca="1">IF(B22="","",INDIRECT("'"&amp;VLOOKUP(B22,'BD Personal'!$A$6:$R$64,4,FALSE)&amp;"'!H56"))</f>
        <v/>
      </c>
      <c r="H22" s="138" t="str">
        <f ca="1">IF(B22="","",INDIRECT("'"&amp;VLOOKUP(B22,'BD Personal'!$A$6:$R$64,4,FALSE)&amp;"'!I56"))</f>
        <v/>
      </c>
      <c r="I22" s="138" t="str">
        <f ca="1">IF(B22="","",INDIRECT("'"&amp;VLOOKUP(B22,'BD Personal'!$A$6:$R$64,4,FALSE)&amp;"'!J56"))</f>
        <v/>
      </c>
      <c r="J22" s="138" t="str">
        <f ca="1">IF(B22="","",INDIRECT("'"&amp;VLOOKUP(B22,'BD Personal'!$A$6:$R$64,4,FALSE)&amp;"'!K56"))</f>
        <v/>
      </c>
      <c r="K22" s="138" t="str">
        <f ca="1">IF(B22="","",INDIRECT("'"&amp;VLOOKUP(B22,'BD Personal'!$A$6:$R$64,4,FALSE)&amp;"'!L56"))</f>
        <v/>
      </c>
      <c r="L22" s="138" t="str">
        <f ca="1">IF(B22="","",INDIRECT("'"&amp;VLOOKUP(B22,'BD Personal'!$A$6:$R$64,4,FALSE)&amp;"'!M56"))</f>
        <v/>
      </c>
      <c r="M22" s="138" t="str">
        <f ca="1">IF(B22="","",INDIRECT("'"&amp;VLOOKUP(B22,'BD Personal'!$A$6:$R$64,4,FALSE)&amp;"'!N56"))</f>
        <v/>
      </c>
      <c r="N22" s="138" t="str">
        <f ca="1">IF(B22="","",INDIRECT("'"&amp;VLOOKUP(B22,'BD Personal'!$A$6:$R$64,4,FALSE)&amp;"'!O56"))</f>
        <v/>
      </c>
      <c r="O22" s="139"/>
      <c r="P22" s="139"/>
      <c r="Q22" s="139"/>
      <c r="R22" s="139"/>
      <c r="S22" s="138" t="str">
        <f ca="1">IF(B22="","",INDIRECT("'"&amp;VLOOKUP(B22,'BD Personal'!$A$6:$R$64,4,FALSE)&amp;"'!H60"))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Personal'!$A$6:$R$64,3,FALSE))&amp;" "&amp;IF(B23="","",VLOOKUP(B23,'BD Personal'!$A$6:$R$64,4,FALSE))</f>
        <v xml:space="preserve"> </v>
      </c>
      <c r="D23" s="141" t="str">
        <f>IF(B23="","",VLOOKUP(B23,'BD Personal'!$A$6:$R$64,17,FALSE))</f>
        <v/>
      </c>
      <c r="E23" s="141" t="str">
        <f>IF(B23="","",VLOOKUP(B23,'BD Personal'!$A$6:$R$64,18,FALSE))</f>
        <v/>
      </c>
      <c r="F23" s="141" t="str">
        <f>IF(B23="","",VLOOKUP(B23,'BD Personal'!$A$6:$R$64,11,FALSE))</f>
        <v/>
      </c>
      <c r="G23" s="138" t="str">
        <f ca="1">IF(B23="","",INDIRECT("'"&amp;VLOOKUP(B23,'BD Personal'!$A$6:$R$64,4,FALSE)&amp;"'!H56"))</f>
        <v/>
      </c>
      <c r="H23" s="138" t="str">
        <f ca="1">IF(B23="","",INDIRECT("'"&amp;VLOOKUP(B23,'BD Personal'!$A$6:$R$64,4,FALSE)&amp;"'!I56"))</f>
        <v/>
      </c>
      <c r="I23" s="138" t="str">
        <f ca="1">IF(B23="","",INDIRECT("'"&amp;VLOOKUP(B23,'BD Personal'!$A$6:$R$64,4,FALSE)&amp;"'!J56"))</f>
        <v/>
      </c>
      <c r="J23" s="138" t="str">
        <f ca="1">IF(B23="","",INDIRECT("'"&amp;VLOOKUP(B23,'BD Personal'!$A$6:$R$64,4,FALSE)&amp;"'!K56"))</f>
        <v/>
      </c>
      <c r="K23" s="138" t="str">
        <f ca="1">IF(B23="","",INDIRECT("'"&amp;VLOOKUP(B23,'BD Personal'!$A$6:$R$64,4,FALSE)&amp;"'!L56"))</f>
        <v/>
      </c>
      <c r="L23" s="138" t="str">
        <f ca="1">IF(B23="","",INDIRECT("'"&amp;VLOOKUP(B23,'BD Personal'!$A$6:$R$64,4,FALSE)&amp;"'!M56"))</f>
        <v/>
      </c>
      <c r="M23" s="138" t="str">
        <f ca="1">IF(B23="","",INDIRECT("'"&amp;VLOOKUP(B23,'BD Personal'!$A$6:$R$64,4,FALSE)&amp;"'!N56"))</f>
        <v/>
      </c>
      <c r="N23" s="138" t="str">
        <f ca="1">IF(B23="","",INDIRECT("'"&amp;VLOOKUP(B23,'BD Personal'!$A$6:$R$64,4,FALSE)&amp;"'!O56"))</f>
        <v/>
      </c>
      <c r="O23" s="139"/>
      <c r="P23" s="139"/>
      <c r="Q23" s="139"/>
      <c r="R23" s="139"/>
      <c r="S23" s="138" t="str">
        <f ca="1">IF(B23="","",INDIRECT("'"&amp;VLOOKUP(B23,'BD Personal'!$A$6:$R$64,4,FALSE)&amp;"'!H60"))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Personal'!$A$6:$R$64,3,FALSE))&amp;" "&amp;IF(B24="","",VLOOKUP(B24,'BD Personal'!$A$6:$R$64,4,FALSE))</f>
        <v xml:space="preserve"> </v>
      </c>
      <c r="D24" s="141" t="str">
        <f>IF(B24="","",VLOOKUP(B24,'BD Personal'!$A$6:$R$64,17,FALSE))</f>
        <v/>
      </c>
      <c r="E24" s="141" t="str">
        <f>IF(B24="","",VLOOKUP(B24,'BD Personal'!$A$6:$R$64,18,FALSE))</f>
        <v/>
      </c>
      <c r="F24" s="141" t="str">
        <f>IF(B24="","",VLOOKUP(B24,'BD Personal'!$A$6:$R$64,11,FALSE))</f>
        <v/>
      </c>
      <c r="G24" s="138" t="str">
        <f ca="1">IF(B24="","",INDIRECT("'"&amp;VLOOKUP(B24,'BD Personal'!$A$6:$R$64,4,FALSE)&amp;"'!H56"))</f>
        <v/>
      </c>
      <c r="H24" s="138" t="str">
        <f ca="1">IF(B24="","",INDIRECT("'"&amp;VLOOKUP(B24,'BD Personal'!$A$6:$R$64,4,FALSE)&amp;"'!I56"))</f>
        <v/>
      </c>
      <c r="I24" s="138" t="str">
        <f ca="1">IF(B24="","",INDIRECT("'"&amp;VLOOKUP(B24,'BD Personal'!$A$6:$R$64,4,FALSE)&amp;"'!J56"))</f>
        <v/>
      </c>
      <c r="J24" s="138" t="str">
        <f ca="1">IF(B24="","",INDIRECT("'"&amp;VLOOKUP(B24,'BD Personal'!$A$6:$R$64,4,FALSE)&amp;"'!K56"))</f>
        <v/>
      </c>
      <c r="K24" s="138" t="str">
        <f ca="1">IF(B24="","",INDIRECT("'"&amp;VLOOKUP(B24,'BD Personal'!$A$6:$R$64,4,FALSE)&amp;"'!L56"))</f>
        <v/>
      </c>
      <c r="L24" s="138" t="str">
        <f ca="1">IF(B24="","",INDIRECT("'"&amp;VLOOKUP(B24,'BD Personal'!$A$6:$R$64,4,FALSE)&amp;"'!M56"))</f>
        <v/>
      </c>
      <c r="M24" s="138" t="str">
        <f ca="1">IF(B24="","",INDIRECT("'"&amp;VLOOKUP(B24,'BD Personal'!$A$6:$R$64,4,FALSE)&amp;"'!N56"))</f>
        <v/>
      </c>
      <c r="N24" s="138" t="str">
        <f ca="1">IF(B24="","",INDIRECT("'"&amp;VLOOKUP(B24,'BD Personal'!$A$6:$R$64,4,FALSE)&amp;"'!O56"))</f>
        <v/>
      </c>
      <c r="O24" s="139"/>
      <c r="P24" s="139"/>
      <c r="Q24" s="139"/>
      <c r="R24" s="139"/>
      <c r="S24" s="138" t="str">
        <f ca="1">IF(B24="","",INDIRECT("'"&amp;VLOOKUP(B24,'BD Personal'!$A$6:$R$64,4,FALSE)&amp;"'!H60"))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Personal'!$A$6:$R$64,3,FALSE))&amp;" "&amp;IF(B25="","",VLOOKUP(B25,'BD Personal'!$A$6:$R$64,4,FALSE))</f>
        <v xml:space="preserve"> </v>
      </c>
      <c r="D25" s="141" t="str">
        <f>IF(B25="","",VLOOKUP(B25,'BD Personal'!$A$6:$R$64,17,FALSE))</f>
        <v/>
      </c>
      <c r="E25" s="141" t="str">
        <f>IF(B25="","",VLOOKUP(B25,'BD Personal'!$A$6:$R$64,18,FALSE))</f>
        <v/>
      </c>
      <c r="F25" s="141" t="str">
        <f>IF(B25="","",VLOOKUP(B25,'BD Personal'!$A$6:$R$64,11,FALSE))</f>
        <v/>
      </c>
      <c r="G25" s="138" t="str">
        <f ca="1">IF(B25="","",INDIRECT("'"&amp;VLOOKUP(B25,'BD Personal'!$A$6:$R$64,4,FALSE)&amp;"'!H56"))</f>
        <v/>
      </c>
      <c r="H25" s="138" t="str">
        <f ca="1">IF(B25="","",INDIRECT("'"&amp;VLOOKUP(B25,'BD Personal'!$A$6:$R$64,4,FALSE)&amp;"'!I56"))</f>
        <v/>
      </c>
      <c r="I25" s="138" t="str">
        <f ca="1">IF(B25="","",INDIRECT("'"&amp;VLOOKUP(B25,'BD Personal'!$A$6:$R$64,4,FALSE)&amp;"'!J56"))</f>
        <v/>
      </c>
      <c r="J25" s="138" t="str">
        <f ca="1">IF(B25="","",INDIRECT("'"&amp;VLOOKUP(B25,'BD Personal'!$A$6:$R$64,4,FALSE)&amp;"'!K56"))</f>
        <v/>
      </c>
      <c r="K25" s="138" t="str">
        <f ca="1">IF(B25="","",INDIRECT("'"&amp;VLOOKUP(B25,'BD Personal'!$A$6:$R$64,4,FALSE)&amp;"'!L56"))</f>
        <v/>
      </c>
      <c r="L25" s="138" t="str">
        <f ca="1">IF(B25="","",INDIRECT("'"&amp;VLOOKUP(B25,'BD Personal'!$A$6:$R$64,4,FALSE)&amp;"'!M56"))</f>
        <v/>
      </c>
      <c r="M25" s="138" t="str">
        <f ca="1">IF(B25="","",INDIRECT("'"&amp;VLOOKUP(B25,'BD Personal'!$A$6:$R$64,4,FALSE)&amp;"'!N56"))</f>
        <v/>
      </c>
      <c r="N25" s="138" t="str">
        <f ca="1">IF(B25="","",INDIRECT("'"&amp;VLOOKUP(B25,'BD Personal'!$A$6:$R$64,4,FALSE)&amp;"'!O56"))</f>
        <v/>
      </c>
      <c r="O25" s="139"/>
      <c r="P25" s="139"/>
      <c r="Q25" s="139"/>
      <c r="R25" s="139"/>
      <c r="S25" s="138" t="str">
        <f ca="1">IF(B25="","",INDIRECT("'"&amp;VLOOKUP(B25,'BD Personal'!$A$6:$R$64,4,FALSE)&amp;"'!H60"))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Personal'!$A$6:$R$64,3,FALSE))&amp;" "&amp;IF(B26="","",VLOOKUP(B26,'BD Personal'!$A$6:$R$64,4,FALSE))</f>
        <v xml:space="preserve"> </v>
      </c>
      <c r="D26" s="141" t="str">
        <f>IF(B26="","",VLOOKUP(B26,'BD Personal'!$A$6:$R$64,17,FALSE))</f>
        <v/>
      </c>
      <c r="E26" s="141" t="str">
        <f>IF(B26="","",VLOOKUP(B26,'BD Personal'!$A$6:$R$64,18,FALSE))</f>
        <v/>
      </c>
      <c r="F26" s="141" t="str">
        <f>IF(B26="","",VLOOKUP(B26,'BD Personal'!$A$6:$R$64,11,FALSE))</f>
        <v/>
      </c>
      <c r="G26" s="138" t="str">
        <f ca="1">IF(B26="","",INDIRECT("'"&amp;VLOOKUP(B26,'BD Personal'!$A$6:$R$64,4,FALSE)&amp;"'!H56"))</f>
        <v/>
      </c>
      <c r="H26" s="138" t="str">
        <f ca="1">IF(B26="","",INDIRECT("'"&amp;VLOOKUP(B26,'BD Personal'!$A$6:$R$64,4,FALSE)&amp;"'!I56"))</f>
        <v/>
      </c>
      <c r="I26" s="138" t="str">
        <f ca="1">IF(B26="","",INDIRECT("'"&amp;VLOOKUP(B26,'BD Personal'!$A$6:$R$64,4,FALSE)&amp;"'!J56"))</f>
        <v/>
      </c>
      <c r="J26" s="138" t="str">
        <f ca="1">IF(B26="","",INDIRECT("'"&amp;VLOOKUP(B26,'BD Personal'!$A$6:$R$64,4,FALSE)&amp;"'!K56"))</f>
        <v/>
      </c>
      <c r="K26" s="138" t="str">
        <f ca="1">IF(B26="","",INDIRECT("'"&amp;VLOOKUP(B26,'BD Personal'!$A$6:$R$64,4,FALSE)&amp;"'!L56"))</f>
        <v/>
      </c>
      <c r="L26" s="138" t="str">
        <f ca="1">IF(B26="","",INDIRECT("'"&amp;VLOOKUP(B26,'BD Personal'!$A$6:$R$64,4,FALSE)&amp;"'!M56"))</f>
        <v/>
      </c>
      <c r="M26" s="138" t="str">
        <f ca="1">IF(B26="","",INDIRECT("'"&amp;VLOOKUP(B26,'BD Personal'!$A$6:$R$64,4,FALSE)&amp;"'!N56"))</f>
        <v/>
      </c>
      <c r="N26" s="138" t="str">
        <f ca="1">IF(B26="","",INDIRECT("'"&amp;VLOOKUP(B26,'BD Personal'!$A$6:$R$64,4,FALSE)&amp;"'!O56"))</f>
        <v/>
      </c>
      <c r="O26" s="139"/>
      <c r="P26" s="139"/>
      <c r="Q26" s="139"/>
      <c r="R26" s="139"/>
      <c r="S26" s="138" t="str">
        <f ca="1">IF(B26="","",INDIRECT("'"&amp;VLOOKUP(B26,'BD Personal'!$A$6:$R$64,4,FALSE)&amp;"'!H60"))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Personal'!$A$6:$R$64,3,FALSE))&amp;" "&amp;IF(B27="","",VLOOKUP(B27,'BD Personal'!$A$6:$R$64,4,FALSE))</f>
        <v xml:space="preserve"> </v>
      </c>
      <c r="D27" s="141" t="str">
        <f>IF(B27="","",VLOOKUP(B27,'BD Personal'!$A$6:$R$64,17,FALSE))</f>
        <v/>
      </c>
      <c r="E27" s="141" t="str">
        <f>IF(B27="","",VLOOKUP(B27,'BD Personal'!$A$6:$R$64,18,FALSE))</f>
        <v/>
      </c>
      <c r="F27" s="141" t="str">
        <f>IF(B27="","",VLOOKUP(B27,'BD Personal'!$A$6:$R$64,11,FALSE))</f>
        <v/>
      </c>
      <c r="G27" s="138" t="str">
        <f ca="1">IF(B27="","",INDIRECT("'"&amp;VLOOKUP(B27,'BD Personal'!$A$6:$R$64,4,FALSE)&amp;"'!H56"))</f>
        <v/>
      </c>
      <c r="H27" s="138" t="str">
        <f ca="1">IF(B27="","",INDIRECT("'"&amp;VLOOKUP(B27,'BD Personal'!$A$6:$R$64,4,FALSE)&amp;"'!I56"))</f>
        <v/>
      </c>
      <c r="I27" s="138" t="str">
        <f ca="1">IF(B27="","",INDIRECT("'"&amp;VLOOKUP(B27,'BD Personal'!$A$6:$R$64,4,FALSE)&amp;"'!J56"))</f>
        <v/>
      </c>
      <c r="J27" s="138" t="str">
        <f ca="1">IF(B27="","",INDIRECT("'"&amp;VLOOKUP(B27,'BD Personal'!$A$6:$R$64,4,FALSE)&amp;"'!K56"))</f>
        <v/>
      </c>
      <c r="K27" s="138" t="str">
        <f ca="1">IF(B27="","",INDIRECT("'"&amp;VLOOKUP(B27,'BD Personal'!$A$6:$R$64,4,FALSE)&amp;"'!L56"))</f>
        <v/>
      </c>
      <c r="L27" s="138" t="str">
        <f ca="1">IF(B27="","",INDIRECT("'"&amp;VLOOKUP(B27,'BD Personal'!$A$6:$R$64,4,FALSE)&amp;"'!M56"))</f>
        <v/>
      </c>
      <c r="M27" s="138" t="str">
        <f ca="1">IF(B27="","",INDIRECT("'"&amp;VLOOKUP(B27,'BD Personal'!$A$6:$R$64,4,FALSE)&amp;"'!N56"))</f>
        <v/>
      </c>
      <c r="N27" s="138" t="str">
        <f ca="1">IF(B27="","",INDIRECT("'"&amp;VLOOKUP(B27,'BD Personal'!$A$6:$R$64,4,FALSE)&amp;"'!O56"))</f>
        <v/>
      </c>
      <c r="O27" s="139"/>
      <c r="P27" s="139"/>
      <c r="Q27" s="139"/>
      <c r="R27" s="139"/>
      <c r="S27" s="138" t="str">
        <f ca="1">IF(B27="","",INDIRECT("'"&amp;VLOOKUP(B27,'BD Personal'!$A$6:$R$64,4,FALSE)&amp;"'!H60"))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Personal'!$A$6:$R$64,3,FALSE))&amp;" "&amp;IF(B28="","",VLOOKUP(B28,'BD Personal'!$A$6:$R$64,4,FALSE))</f>
        <v xml:space="preserve"> </v>
      </c>
      <c r="D28" s="141" t="str">
        <f>IF(B28="","",VLOOKUP(B28,'BD Personal'!$A$6:$R$64,17,FALSE))</f>
        <v/>
      </c>
      <c r="E28" s="141" t="str">
        <f>IF(B28="","",VLOOKUP(B28,'BD Personal'!$A$6:$R$64,18,FALSE))</f>
        <v/>
      </c>
      <c r="F28" s="141" t="str">
        <f>IF(B28="","",VLOOKUP(B28,'BD Personal'!$A$6:$R$64,11,FALSE))</f>
        <v/>
      </c>
      <c r="G28" s="138" t="str">
        <f ca="1">IF(B28="","",INDIRECT("'"&amp;VLOOKUP(B28,'BD Personal'!$A$6:$R$64,4,FALSE)&amp;"'!H56"))</f>
        <v/>
      </c>
      <c r="H28" s="138" t="str">
        <f ca="1">IF(B28="","",INDIRECT("'"&amp;VLOOKUP(B28,'BD Personal'!$A$6:$R$64,4,FALSE)&amp;"'!I56"))</f>
        <v/>
      </c>
      <c r="I28" s="138" t="str">
        <f ca="1">IF(B28="","",INDIRECT("'"&amp;VLOOKUP(B28,'BD Personal'!$A$6:$R$64,4,FALSE)&amp;"'!J56"))</f>
        <v/>
      </c>
      <c r="J28" s="138" t="str">
        <f ca="1">IF(B28="","",INDIRECT("'"&amp;VLOOKUP(B28,'BD Personal'!$A$6:$R$64,4,FALSE)&amp;"'!K56"))</f>
        <v/>
      </c>
      <c r="K28" s="138" t="str">
        <f ca="1">IF(B28="","",INDIRECT("'"&amp;VLOOKUP(B28,'BD Personal'!$A$6:$R$64,4,FALSE)&amp;"'!L56"))</f>
        <v/>
      </c>
      <c r="L28" s="138" t="str">
        <f ca="1">IF(B28="","",INDIRECT("'"&amp;VLOOKUP(B28,'BD Personal'!$A$6:$R$64,4,FALSE)&amp;"'!M56"))</f>
        <v/>
      </c>
      <c r="M28" s="138" t="str">
        <f ca="1">IF(B28="","",INDIRECT("'"&amp;VLOOKUP(B28,'BD Personal'!$A$6:$R$64,4,FALSE)&amp;"'!N56"))</f>
        <v/>
      </c>
      <c r="N28" s="138" t="str">
        <f ca="1">IF(B28="","",INDIRECT("'"&amp;VLOOKUP(B28,'BD Personal'!$A$6:$R$64,4,FALSE)&amp;"'!O56"))</f>
        <v/>
      </c>
      <c r="O28" s="139"/>
      <c r="P28" s="139"/>
      <c r="Q28" s="139"/>
      <c r="R28" s="139"/>
      <c r="S28" s="138" t="str">
        <f ca="1">IF(B28="","",INDIRECT("'"&amp;VLOOKUP(B28,'BD Personal'!$A$6:$R$64,4,FALSE)&amp;"'!H60"))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Personal'!$A$6:$R$64,3,FALSE))&amp;" "&amp;IF(B29="","",VLOOKUP(B29,'BD Personal'!$A$6:$R$64,4,FALSE))</f>
        <v xml:space="preserve"> </v>
      </c>
      <c r="D29" s="141" t="str">
        <f>IF(B29="","",VLOOKUP(B29,'BD Personal'!$A$6:$R$64,17,FALSE))</f>
        <v/>
      </c>
      <c r="E29" s="141" t="str">
        <f>IF(B29="","",VLOOKUP(B29,'BD Personal'!$A$6:$R$64,18,FALSE))</f>
        <v/>
      </c>
      <c r="F29" s="141" t="str">
        <f>IF(B29="","",VLOOKUP(B29,'BD Personal'!$A$6:$R$64,11,FALSE))</f>
        <v/>
      </c>
      <c r="G29" s="138" t="str">
        <f ca="1">IF(B29="","",INDIRECT("'"&amp;VLOOKUP(B29,'BD Personal'!$A$6:$R$64,4,FALSE)&amp;"'!H56"))</f>
        <v/>
      </c>
      <c r="H29" s="138" t="str">
        <f ca="1">IF(B29="","",INDIRECT("'"&amp;VLOOKUP(B29,'BD Personal'!$A$6:$R$64,4,FALSE)&amp;"'!I56"))</f>
        <v/>
      </c>
      <c r="I29" s="138" t="str">
        <f ca="1">IF(B29="","",INDIRECT("'"&amp;VLOOKUP(B29,'BD Personal'!$A$6:$R$64,4,FALSE)&amp;"'!J56"))</f>
        <v/>
      </c>
      <c r="J29" s="138" t="str">
        <f ca="1">IF(B29="","",INDIRECT("'"&amp;VLOOKUP(B29,'BD Personal'!$A$6:$R$64,4,FALSE)&amp;"'!K56"))</f>
        <v/>
      </c>
      <c r="K29" s="138" t="str">
        <f ca="1">IF(B29="","",INDIRECT("'"&amp;VLOOKUP(B29,'BD Personal'!$A$6:$R$64,4,FALSE)&amp;"'!L56"))</f>
        <v/>
      </c>
      <c r="L29" s="138" t="str">
        <f ca="1">IF(B29="","",INDIRECT("'"&amp;VLOOKUP(B29,'BD Personal'!$A$6:$R$64,4,FALSE)&amp;"'!M56"))</f>
        <v/>
      </c>
      <c r="M29" s="138" t="str">
        <f ca="1">IF(B29="","",INDIRECT("'"&amp;VLOOKUP(B29,'BD Personal'!$A$6:$R$64,4,FALSE)&amp;"'!N56"))</f>
        <v/>
      </c>
      <c r="N29" s="138" t="str">
        <f ca="1">IF(B29="","",INDIRECT("'"&amp;VLOOKUP(B29,'BD Personal'!$A$6:$R$64,4,FALSE)&amp;"'!O56"))</f>
        <v/>
      </c>
      <c r="O29" s="139"/>
      <c r="P29" s="139"/>
      <c r="Q29" s="139"/>
      <c r="R29" s="139"/>
      <c r="S29" s="138" t="str">
        <f ca="1">IF(B29="","",INDIRECT("'"&amp;VLOOKUP(B29,'BD Personal'!$A$6:$R$64,4,FALSE)&amp;"'!H60"))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Personal'!$A$6:$R$64,3,FALSE))&amp;" "&amp;IF(B30="","",VLOOKUP(B30,'BD Personal'!$A$6:$R$64,4,FALSE))</f>
        <v xml:space="preserve"> </v>
      </c>
      <c r="D30" s="141" t="str">
        <f>IF(B30="","",VLOOKUP(B30,'BD Personal'!$A$6:$R$64,17,FALSE))</f>
        <v/>
      </c>
      <c r="E30" s="141" t="str">
        <f>IF(B30="","",VLOOKUP(B30,'BD Personal'!$A$6:$R$64,18,FALSE))</f>
        <v/>
      </c>
      <c r="F30" s="141" t="str">
        <f>IF(B30="","",VLOOKUP(B30,'BD Personal'!$A$6:$R$64,11,FALSE))</f>
        <v/>
      </c>
      <c r="G30" s="138" t="str">
        <f ca="1">IF(B30="","",INDIRECT("'"&amp;VLOOKUP(B30,'BD Personal'!$A$6:$R$64,4,FALSE)&amp;"'!H56"))</f>
        <v/>
      </c>
      <c r="H30" s="138" t="str">
        <f ca="1">IF(B30="","",INDIRECT("'"&amp;VLOOKUP(B30,'BD Personal'!$A$6:$R$64,4,FALSE)&amp;"'!I56"))</f>
        <v/>
      </c>
      <c r="I30" s="138" t="str">
        <f ca="1">IF(B30="","",INDIRECT("'"&amp;VLOOKUP(B30,'BD Personal'!$A$6:$R$64,4,FALSE)&amp;"'!J56"))</f>
        <v/>
      </c>
      <c r="J30" s="138" t="str">
        <f ca="1">IF(B30="","",INDIRECT("'"&amp;VLOOKUP(B30,'BD Personal'!$A$6:$R$64,4,FALSE)&amp;"'!K56"))</f>
        <v/>
      </c>
      <c r="K30" s="138" t="str">
        <f ca="1">IF(B30="","",INDIRECT("'"&amp;VLOOKUP(B30,'BD Personal'!$A$6:$R$64,4,FALSE)&amp;"'!L56"))</f>
        <v/>
      </c>
      <c r="L30" s="138" t="str">
        <f ca="1">IF(B30="","",INDIRECT("'"&amp;VLOOKUP(B30,'BD Personal'!$A$6:$R$64,4,FALSE)&amp;"'!M56"))</f>
        <v/>
      </c>
      <c r="M30" s="138" t="str">
        <f ca="1">IF(B30="","",INDIRECT("'"&amp;VLOOKUP(B30,'BD Personal'!$A$6:$R$64,4,FALSE)&amp;"'!N56"))</f>
        <v/>
      </c>
      <c r="N30" s="138" t="str">
        <f ca="1">IF(B30="","",INDIRECT("'"&amp;VLOOKUP(B30,'BD Personal'!$A$6:$R$64,4,FALSE)&amp;"'!O56"))</f>
        <v/>
      </c>
      <c r="O30" s="139"/>
      <c r="P30" s="139"/>
      <c r="Q30" s="139"/>
      <c r="R30" s="139"/>
      <c r="S30" s="138" t="str">
        <f ca="1">IF(B30="","",INDIRECT("'"&amp;VLOOKUP(B30,'BD Personal'!$A$6:$R$64,4,FALSE)&amp;"'!H60"))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Personal'!$A$6:$R$64,3,FALSE))&amp;" "&amp;IF(B31="","",VLOOKUP(B31,'BD Personal'!$A$6:$R$64,4,FALSE))</f>
        <v xml:space="preserve"> </v>
      </c>
      <c r="D31" s="141" t="str">
        <f>IF(B31="","",VLOOKUP(B31,'BD Personal'!$A$6:$R$64,17,FALSE))</f>
        <v/>
      </c>
      <c r="E31" s="141" t="str">
        <f>IF(B31="","",VLOOKUP(B31,'BD Personal'!$A$6:$R$64,18,FALSE))</f>
        <v/>
      </c>
      <c r="F31" s="141" t="str">
        <f>IF(B31="","",VLOOKUP(B31,'BD Personal'!$A$6:$R$64,11,FALSE))</f>
        <v/>
      </c>
      <c r="G31" s="138" t="str">
        <f ca="1">IF(B31="","",INDIRECT("'"&amp;VLOOKUP(B31,'BD Personal'!$A$6:$R$64,4,FALSE)&amp;"'!H56"))</f>
        <v/>
      </c>
      <c r="H31" s="138" t="str">
        <f ca="1">IF(B31="","",INDIRECT("'"&amp;VLOOKUP(B31,'BD Personal'!$A$6:$R$64,4,FALSE)&amp;"'!I56"))</f>
        <v/>
      </c>
      <c r="I31" s="138" t="str">
        <f ca="1">IF(B31="","",INDIRECT("'"&amp;VLOOKUP(B31,'BD Personal'!$A$6:$R$64,4,FALSE)&amp;"'!J56"))</f>
        <v/>
      </c>
      <c r="J31" s="138" t="str">
        <f ca="1">IF(B31="","",INDIRECT("'"&amp;VLOOKUP(B31,'BD Personal'!$A$6:$R$64,4,FALSE)&amp;"'!K56"))</f>
        <v/>
      </c>
      <c r="K31" s="138" t="str">
        <f ca="1">IF(B31="","",INDIRECT("'"&amp;VLOOKUP(B31,'BD Personal'!$A$6:$R$64,4,FALSE)&amp;"'!L56"))</f>
        <v/>
      </c>
      <c r="L31" s="138" t="str">
        <f ca="1">IF(B31="","",INDIRECT("'"&amp;VLOOKUP(B31,'BD Personal'!$A$6:$R$64,4,FALSE)&amp;"'!M56"))</f>
        <v/>
      </c>
      <c r="M31" s="138" t="str">
        <f ca="1">IF(B31="","",INDIRECT("'"&amp;VLOOKUP(B31,'BD Personal'!$A$6:$R$64,4,FALSE)&amp;"'!N56"))</f>
        <v/>
      </c>
      <c r="N31" s="138" t="str">
        <f ca="1">IF(B31="","",INDIRECT("'"&amp;VLOOKUP(B31,'BD Personal'!$A$6:$R$64,4,FALSE)&amp;"'!O56"))</f>
        <v/>
      </c>
      <c r="O31" s="139"/>
      <c r="P31" s="139"/>
      <c r="Q31" s="139"/>
      <c r="R31" s="139"/>
      <c r="S31" s="138" t="str">
        <f ca="1">IF(B31="","",INDIRECT("'"&amp;VLOOKUP(B31,'BD Personal'!$A$6:$R$64,4,FALSE)&amp;"'!H60"))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Personal'!$A$6:$R$64,3,FALSE))&amp;" "&amp;IF(B32="","",VLOOKUP(B32,'BD Personal'!$A$6:$R$64,4,FALSE))</f>
        <v xml:space="preserve"> </v>
      </c>
      <c r="D32" s="141" t="str">
        <f>IF(B32="","",VLOOKUP(B32,'BD Personal'!$A$6:$R$64,17,FALSE))</f>
        <v/>
      </c>
      <c r="E32" s="141" t="str">
        <f>IF(B32="","",VLOOKUP(B32,'BD Personal'!$A$6:$R$64,18,FALSE))</f>
        <v/>
      </c>
      <c r="F32" s="141" t="str">
        <f>IF(B32="","",VLOOKUP(B32,'BD Personal'!$A$6:$R$64,11,FALSE))</f>
        <v/>
      </c>
      <c r="G32" s="138" t="str">
        <f ca="1">IF(B32="","",INDIRECT("'"&amp;VLOOKUP(B32,'BD Personal'!$A$6:$R$64,4,FALSE)&amp;"'!H56"))</f>
        <v/>
      </c>
      <c r="H32" s="138" t="str">
        <f ca="1">IF(B32="","",INDIRECT("'"&amp;VLOOKUP(B32,'BD Personal'!$A$6:$R$64,4,FALSE)&amp;"'!I56"))</f>
        <v/>
      </c>
      <c r="I32" s="138" t="str">
        <f ca="1">IF(B32="","",INDIRECT("'"&amp;VLOOKUP(B32,'BD Personal'!$A$6:$R$64,4,FALSE)&amp;"'!J56"))</f>
        <v/>
      </c>
      <c r="J32" s="138" t="str">
        <f ca="1">IF(B32="","",INDIRECT("'"&amp;VLOOKUP(B32,'BD Personal'!$A$6:$R$64,4,FALSE)&amp;"'!K56"))</f>
        <v/>
      </c>
      <c r="K32" s="138" t="str">
        <f ca="1">IF(B32="","",INDIRECT("'"&amp;VLOOKUP(B32,'BD Personal'!$A$6:$R$64,4,FALSE)&amp;"'!L56"))</f>
        <v/>
      </c>
      <c r="L32" s="138" t="str">
        <f ca="1">IF(B32="","",INDIRECT("'"&amp;VLOOKUP(B32,'BD Personal'!$A$6:$R$64,4,FALSE)&amp;"'!M56"))</f>
        <v/>
      </c>
      <c r="M32" s="138" t="str">
        <f ca="1">IF(B32="","",INDIRECT("'"&amp;VLOOKUP(B32,'BD Personal'!$A$6:$R$64,4,FALSE)&amp;"'!N56"))</f>
        <v/>
      </c>
      <c r="N32" s="138" t="str">
        <f ca="1">IF(B32="","",INDIRECT("'"&amp;VLOOKUP(B32,'BD Personal'!$A$6:$R$64,4,FALSE)&amp;"'!O56"))</f>
        <v/>
      </c>
      <c r="O32" s="139"/>
      <c r="P32" s="139"/>
      <c r="Q32" s="139"/>
      <c r="R32" s="139"/>
      <c r="S32" s="138" t="str">
        <f ca="1">IF(B32="","",INDIRECT("'"&amp;VLOOKUP(B32,'BD Personal'!$A$6:$R$64,4,FALSE)&amp;"'!H60"))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Personal'!$A$6:$R$64,3,FALSE))&amp;" "&amp;IF(B33="","",VLOOKUP(B33,'BD Personal'!$A$6:$R$64,4,FALSE))</f>
        <v xml:space="preserve"> </v>
      </c>
      <c r="D33" s="141" t="str">
        <f>IF(B33="","",VLOOKUP(B33,'BD Personal'!$A$6:$R$64,17,FALSE))</f>
        <v/>
      </c>
      <c r="E33" s="141" t="str">
        <f>IF(B33="","",VLOOKUP(B33,'BD Personal'!$A$6:$R$64,18,FALSE))</f>
        <v/>
      </c>
      <c r="F33" s="141" t="str">
        <f>IF(B33="","",VLOOKUP(B33,'BD Personal'!$A$6:$R$64,11,FALSE))</f>
        <v/>
      </c>
      <c r="G33" s="138" t="str">
        <f ca="1">IF(B33="","",INDIRECT("'"&amp;VLOOKUP(B33,'BD Personal'!$A$6:$R$64,4,FALSE)&amp;"'!H56"))</f>
        <v/>
      </c>
      <c r="H33" s="138" t="str">
        <f ca="1">IF(B33="","",INDIRECT("'"&amp;VLOOKUP(B33,'BD Personal'!$A$6:$R$64,4,FALSE)&amp;"'!I56"))</f>
        <v/>
      </c>
      <c r="I33" s="138" t="str">
        <f ca="1">IF(B33="","",INDIRECT("'"&amp;VLOOKUP(B33,'BD Personal'!$A$6:$R$64,4,FALSE)&amp;"'!J56"))</f>
        <v/>
      </c>
      <c r="J33" s="138" t="str">
        <f ca="1">IF(B33="","",INDIRECT("'"&amp;VLOOKUP(B33,'BD Personal'!$A$6:$R$64,4,FALSE)&amp;"'!K56"))</f>
        <v/>
      </c>
      <c r="K33" s="138" t="str">
        <f ca="1">IF(B33="","",INDIRECT("'"&amp;VLOOKUP(B33,'BD Personal'!$A$6:$R$64,4,FALSE)&amp;"'!L56"))</f>
        <v/>
      </c>
      <c r="L33" s="138" t="str">
        <f ca="1">IF(B33="","",INDIRECT("'"&amp;VLOOKUP(B33,'BD Personal'!$A$6:$R$64,4,FALSE)&amp;"'!M56"))</f>
        <v/>
      </c>
      <c r="M33" s="138" t="str">
        <f ca="1">IF(B33="","",INDIRECT("'"&amp;VLOOKUP(B33,'BD Personal'!$A$6:$R$64,4,FALSE)&amp;"'!N56"))</f>
        <v/>
      </c>
      <c r="N33" s="138" t="str">
        <f ca="1">IF(B33="","",INDIRECT("'"&amp;VLOOKUP(B33,'BD Personal'!$A$6:$R$64,4,FALSE)&amp;"'!O56"))</f>
        <v/>
      </c>
      <c r="O33" s="139"/>
      <c r="P33" s="139"/>
      <c r="Q33" s="139"/>
      <c r="R33" s="139"/>
      <c r="S33" s="138" t="str">
        <f ca="1">IF(B33="","",INDIRECT("'"&amp;VLOOKUP(B33,'BD Personal'!$A$6:$R$64,4,FALSE)&amp;"'!H60"))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Personal'!$A$6:$R$64,3,FALSE))&amp;" "&amp;IF(B34="","",VLOOKUP(B34,'BD Personal'!$A$6:$R$64,4,FALSE))</f>
        <v xml:space="preserve"> </v>
      </c>
      <c r="D34" s="141" t="str">
        <f>IF(B34="","",VLOOKUP(B34,'BD Personal'!$A$6:$R$64,17,FALSE))</f>
        <v/>
      </c>
      <c r="E34" s="141" t="str">
        <f>IF(B34="","",VLOOKUP(B34,'BD Personal'!$A$6:$R$64,18,FALSE))</f>
        <v/>
      </c>
      <c r="F34" s="141" t="str">
        <f>IF(B34="","",VLOOKUP(B34,'BD Personal'!$A$6:$R$64,11,FALSE))</f>
        <v/>
      </c>
      <c r="G34" s="138" t="str">
        <f ca="1">IF(B34="","",INDIRECT("'"&amp;VLOOKUP(B34,'BD Personal'!$A$6:$R$64,4,FALSE)&amp;"'!H56"))</f>
        <v/>
      </c>
      <c r="H34" s="138" t="str">
        <f ca="1">IF(B34="","",INDIRECT("'"&amp;VLOOKUP(B34,'BD Personal'!$A$6:$R$64,4,FALSE)&amp;"'!I56"))</f>
        <v/>
      </c>
      <c r="I34" s="138" t="str">
        <f ca="1">IF(B34="","",INDIRECT("'"&amp;VLOOKUP(B34,'BD Personal'!$A$6:$R$64,4,FALSE)&amp;"'!J56"))</f>
        <v/>
      </c>
      <c r="J34" s="138" t="str">
        <f ca="1">IF(B34="","",INDIRECT("'"&amp;VLOOKUP(B34,'BD Personal'!$A$6:$R$64,4,FALSE)&amp;"'!K56"))</f>
        <v/>
      </c>
      <c r="K34" s="138" t="str">
        <f ca="1">IF(B34="","",INDIRECT("'"&amp;VLOOKUP(B34,'BD Personal'!$A$6:$R$64,4,FALSE)&amp;"'!L56"))</f>
        <v/>
      </c>
      <c r="L34" s="138" t="str">
        <f ca="1">IF(B34="","",INDIRECT("'"&amp;VLOOKUP(B34,'BD Personal'!$A$6:$R$64,4,FALSE)&amp;"'!M56"))</f>
        <v/>
      </c>
      <c r="M34" s="138" t="str">
        <f ca="1">IF(B34="","",INDIRECT("'"&amp;VLOOKUP(B34,'BD Personal'!$A$6:$R$64,4,FALSE)&amp;"'!N56"))</f>
        <v/>
      </c>
      <c r="N34" s="138" t="str">
        <f ca="1">IF(B34="","",INDIRECT("'"&amp;VLOOKUP(B34,'BD Personal'!$A$6:$R$64,4,FALSE)&amp;"'!O56"))</f>
        <v/>
      </c>
      <c r="O34" s="139"/>
      <c r="P34" s="139"/>
      <c r="Q34" s="139"/>
      <c r="R34" s="139"/>
      <c r="S34" s="138" t="str">
        <f ca="1">IF(B34="","",INDIRECT("'"&amp;VLOOKUP(B34,'BD Personal'!$A$6:$R$64,4,FALSE)&amp;"'!H60"))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Personal'!$A$6:$R$64,3,FALSE))&amp;" "&amp;IF(B35="","",VLOOKUP(B35,'BD Personal'!$A$6:$R$64,4,FALSE))</f>
        <v xml:space="preserve"> </v>
      </c>
      <c r="D35" s="141" t="str">
        <f>IF(B35="","",VLOOKUP(B35,'BD Personal'!$A$6:$R$64,17,FALSE))</f>
        <v/>
      </c>
      <c r="E35" s="141" t="str">
        <f>IF(B35="","",VLOOKUP(B35,'BD Personal'!$A$6:$R$64,18,FALSE))</f>
        <v/>
      </c>
      <c r="F35" s="141" t="str">
        <f>IF(B35="","",VLOOKUP(B35,'BD Personal'!$A$6:$R$64,11,FALSE))</f>
        <v/>
      </c>
      <c r="G35" s="138" t="str">
        <f ca="1">IF(B35="","",INDIRECT("'"&amp;VLOOKUP(B35,'BD Personal'!$A$6:$R$64,4,FALSE)&amp;"'!H56"))</f>
        <v/>
      </c>
      <c r="H35" s="138" t="str">
        <f ca="1">IF(B35="","",INDIRECT("'"&amp;VLOOKUP(B35,'BD Personal'!$A$6:$R$64,4,FALSE)&amp;"'!I56"))</f>
        <v/>
      </c>
      <c r="I35" s="138" t="str">
        <f ca="1">IF(B35="","",INDIRECT("'"&amp;VLOOKUP(B35,'BD Personal'!$A$6:$R$64,4,FALSE)&amp;"'!J56"))</f>
        <v/>
      </c>
      <c r="J35" s="138" t="str">
        <f ca="1">IF(B35="","",INDIRECT("'"&amp;VLOOKUP(B35,'BD Personal'!$A$6:$R$64,4,FALSE)&amp;"'!K56"))</f>
        <v/>
      </c>
      <c r="K35" s="138" t="str">
        <f ca="1">IF(B35="","",INDIRECT("'"&amp;VLOOKUP(B35,'BD Personal'!$A$6:$R$64,4,FALSE)&amp;"'!L56"))</f>
        <v/>
      </c>
      <c r="L35" s="138" t="str">
        <f ca="1">IF(B35="","",INDIRECT("'"&amp;VLOOKUP(B35,'BD Personal'!$A$6:$R$64,4,FALSE)&amp;"'!M56"))</f>
        <v/>
      </c>
      <c r="M35" s="138" t="str">
        <f ca="1">IF(B35="","",INDIRECT("'"&amp;VLOOKUP(B35,'BD Personal'!$A$6:$R$64,4,FALSE)&amp;"'!N56"))</f>
        <v/>
      </c>
      <c r="N35" s="138" t="str">
        <f ca="1">IF(B35="","",INDIRECT("'"&amp;VLOOKUP(B35,'BD Personal'!$A$6:$R$64,4,FALSE)&amp;"'!O56"))</f>
        <v/>
      </c>
      <c r="O35" s="139"/>
      <c r="P35" s="139"/>
      <c r="Q35" s="139"/>
      <c r="R35" s="139"/>
      <c r="S35" s="138" t="str">
        <f ca="1">IF(B35="","",INDIRECT("'"&amp;VLOOKUP(B35,'BD Personal'!$A$6:$R$64,4,FALSE)&amp;"'!H60"))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Personal'!$A$6:$R$64,3,FALSE))&amp;" "&amp;IF(B36="","",VLOOKUP(B36,'BD Personal'!$A$6:$R$64,4,FALSE))</f>
        <v xml:space="preserve"> </v>
      </c>
      <c r="D36" s="141" t="str">
        <f>IF(B36="","",VLOOKUP(B36,'BD Personal'!$A$6:$R$64,17,FALSE))</f>
        <v/>
      </c>
      <c r="E36" s="141" t="str">
        <f>IF(B36="","",VLOOKUP(B36,'BD Personal'!$A$6:$R$64,18,FALSE))</f>
        <v/>
      </c>
      <c r="F36" s="141" t="str">
        <f>IF(B36="","",VLOOKUP(B36,'BD Personal'!$A$6:$R$64,11,FALSE))</f>
        <v/>
      </c>
      <c r="G36" s="138" t="str">
        <f ca="1">IF(B36="","",INDIRECT("'"&amp;VLOOKUP(B36,'BD Personal'!$A$6:$R$64,4,FALSE)&amp;"'!H56"))</f>
        <v/>
      </c>
      <c r="H36" s="138" t="str">
        <f ca="1">IF(B36="","",INDIRECT("'"&amp;VLOOKUP(B36,'BD Personal'!$A$6:$R$64,4,FALSE)&amp;"'!I56"))</f>
        <v/>
      </c>
      <c r="I36" s="138" t="str">
        <f ca="1">IF(B36="","",INDIRECT("'"&amp;VLOOKUP(B36,'BD Personal'!$A$6:$R$64,4,FALSE)&amp;"'!J56"))</f>
        <v/>
      </c>
      <c r="J36" s="138" t="str">
        <f ca="1">IF(B36="","",INDIRECT("'"&amp;VLOOKUP(B36,'BD Personal'!$A$6:$R$64,4,FALSE)&amp;"'!K56"))</f>
        <v/>
      </c>
      <c r="K36" s="138" t="str">
        <f ca="1">IF(B36="","",INDIRECT("'"&amp;VLOOKUP(B36,'BD Personal'!$A$6:$R$64,4,FALSE)&amp;"'!L56"))</f>
        <v/>
      </c>
      <c r="L36" s="138" t="str">
        <f ca="1">IF(B36="","",INDIRECT("'"&amp;VLOOKUP(B36,'BD Personal'!$A$6:$R$64,4,FALSE)&amp;"'!M56"))</f>
        <v/>
      </c>
      <c r="M36" s="138" t="str">
        <f ca="1">IF(B36="","",INDIRECT("'"&amp;VLOOKUP(B36,'BD Personal'!$A$6:$R$64,4,FALSE)&amp;"'!N56"))</f>
        <v/>
      </c>
      <c r="N36" s="138" t="str">
        <f ca="1">IF(B36="","",INDIRECT("'"&amp;VLOOKUP(B36,'BD Personal'!$A$6:$R$64,4,FALSE)&amp;"'!O56"))</f>
        <v/>
      </c>
      <c r="O36" s="139"/>
      <c r="P36" s="139"/>
      <c r="Q36" s="139"/>
      <c r="R36" s="139"/>
      <c r="S36" s="138" t="str">
        <f ca="1">IF(B36="","",INDIRECT("'"&amp;VLOOKUP(B36,'BD Personal'!$A$6:$R$64,4,FALSE)&amp;"'!H60"))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Personal'!$A$6:$R$64,3,FALSE))&amp;" "&amp;IF(B37="","",VLOOKUP(B37,'BD Personal'!$A$6:$R$64,4,FALSE))</f>
        <v xml:space="preserve"> </v>
      </c>
      <c r="D37" s="141" t="str">
        <f>IF(B37="","",VLOOKUP(B37,'BD Personal'!$A$6:$R$64,17,FALSE))</f>
        <v/>
      </c>
      <c r="E37" s="141" t="str">
        <f>IF(B37="","",VLOOKUP(B37,'BD Personal'!$A$6:$R$64,18,FALSE))</f>
        <v/>
      </c>
      <c r="F37" s="141" t="str">
        <f>IF(B37="","",VLOOKUP(B37,'BD Personal'!$A$6:$R$64,11,FALSE))</f>
        <v/>
      </c>
      <c r="G37" s="138" t="str">
        <f ca="1">IF(B37="","",INDIRECT("'"&amp;VLOOKUP(B37,'BD Personal'!$A$6:$R$64,4,FALSE)&amp;"'!H56"))</f>
        <v/>
      </c>
      <c r="H37" s="138" t="str">
        <f ca="1">IF(B37="","",INDIRECT("'"&amp;VLOOKUP(B37,'BD Personal'!$A$6:$R$64,4,FALSE)&amp;"'!I56"))</f>
        <v/>
      </c>
      <c r="I37" s="138" t="str">
        <f ca="1">IF(B37="","",INDIRECT("'"&amp;VLOOKUP(B37,'BD Personal'!$A$6:$R$64,4,FALSE)&amp;"'!J56"))</f>
        <v/>
      </c>
      <c r="J37" s="138" t="str">
        <f ca="1">IF(B37="","",INDIRECT("'"&amp;VLOOKUP(B37,'BD Personal'!$A$6:$R$64,4,FALSE)&amp;"'!K56"))</f>
        <v/>
      </c>
      <c r="K37" s="138" t="str">
        <f ca="1">IF(B37="","",INDIRECT("'"&amp;VLOOKUP(B37,'BD Personal'!$A$6:$R$64,4,FALSE)&amp;"'!L56"))</f>
        <v/>
      </c>
      <c r="L37" s="138" t="str">
        <f ca="1">IF(B37="","",INDIRECT("'"&amp;VLOOKUP(B37,'BD Personal'!$A$6:$R$64,4,FALSE)&amp;"'!M56"))</f>
        <v/>
      </c>
      <c r="M37" s="138" t="str">
        <f ca="1">IF(B37="","",INDIRECT("'"&amp;VLOOKUP(B37,'BD Personal'!$A$6:$R$64,4,FALSE)&amp;"'!N56"))</f>
        <v/>
      </c>
      <c r="N37" s="138" t="str">
        <f ca="1">IF(B37="","",INDIRECT("'"&amp;VLOOKUP(B37,'BD Personal'!$A$6:$R$64,4,FALSE)&amp;"'!O56"))</f>
        <v/>
      </c>
      <c r="O37" s="139"/>
      <c r="P37" s="139"/>
      <c r="Q37" s="139"/>
      <c r="R37" s="139"/>
      <c r="S37" s="138" t="str">
        <f ca="1">IF(B37="","",INDIRECT("'"&amp;VLOOKUP(B37,'BD Personal'!$A$6:$R$64,4,FALSE)&amp;"'!H60"))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Personal'!$A$6:$R$64,3,FALSE))&amp;" "&amp;IF(B38="","",VLOOKUP(B38,'BD Personal'!$A$6:$R$64,4,FALSE))</f>
        <v xml:space="preserve"> </v>
      </c>
      <c r="D38" s="141" t="str">
        <f>IF(B38="","",VLOOKUP(B38,'BD Personal'!$A$6:$R$64,17,FALSE))</f>
        <v/>
      </c>
      <c r="E38" s="141" t="str">
        <f>IF(B38="","",VLOOKUP(B38,'BD Personal'!$A$6:$R$64,18,FALSE))</f>
        <v/>
      </c>
      <c r="F38" s="141" t="str">
        <f>IF(B38="","",VLOOKUP(B38,'BD Personal'!$A$6:$R$64,11,FALSE))</f>
        <v/>
      </c>
      <c r="G38" s="138" t="str">
        <f ca="1">IF(B38="","",INDIRECT("'"&amp;VLOOKUP(B38,'BD Personal'!$A$6:$R$64,4,FALSE)&amp;"'!H56"))</f>
        <v/>
      </c>
      <c r="H38" s="138" t="str">
        <f ca="1">IF(B38="","",INDIRECT("'"&amp;VLOOKUP(B38,'BD Personal'!$A$6:$R$64,4,FALSE)&amp;"'!I56"))</f>
        <v/>
      </c>
      <c r="I38" s="138" t="str">
        <f ca="1">IF(B38="","",INDIRECT("'"&amp;VLOOKUP(B38,'BD Personal'!$A$6:$R$64,4,FALSE)&amp;"'!J56"))</f>
        <v/>
      </c>
      <c r="J38" s="138" t="str">
        <f ca="1">IF(B38="","",INDIRECT("'"&amp;VLOOKUP(B38,'BD Personal'!$A$6:$R$64,4,FALSE)&amp;"'!K56"))</f>
        <v/>
      </c>
      <c r="K38" s="138" t="str">
        <f ca="1">IF(B38="","",INDIRECT("'"&amp;VLOOKUP(B38,'BD Personal'!$A$6:$R$64,4,FALSE)&amp;"'!L56"))</f>
        <v/>
      </c>
      <c r="L38" s="138" t="str">
        <f ca="1">IF(B38="","",INDIRECT("'"&amp;VLOOKUP(B38,'BD Personal'!$A$6:$R$64,4,FALSE)&amp;"'!M56"))</f>
        <v/>
      </c>
      <c r="M38" s="138" t="str">
        <f ca="1">IF(B38="","",INDIRECT("'"&amp;VLOOKUP(B38,'BD Personal'!$A$6:$R$64,4,FALSE)&amp;"'!N56"))</f>
        <v/>
      </c>
      <c r="N38" s="138" t="str">
        <f ca="1">IF(B38="","",INDIRECT("'"&amp;VLOOKUP(B38,'BD Personal'!$A$6:$R$64,4,FALSE)&amp;"'!O56"))</f>
        <v/>
      </c>
      <c r="O38" s="139"/>
      <c r="P38" s="139"/>
      <c r="Q38" s="139"/>
      <c r="R38" s="139"/>
      <c r="S38" s="138" t="str">
        <f ca="1">IF(B38="","",INDIRECT("'"&amp;VLOOKUP(B38,'BD Personal'!$A$6:$R$64,4,FALSE)&amp;"'!H60"))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Personal'!$A$6:$R$64,3,FALSE))&amp;" "&amp;IF(B39="","",VLOOKUP(B39,'BD Personal'!$A$6:$R$64,4,FALSE))</f>
        <v xml:space="preserve"> </v>
      </c>
      <c r="D39" s="141" t="str">
        <f>IF(B39="","",VLOOKUP(B39,'BD Personal'!$A$6:$R$64,17,FALSE))</f>
        <v/>
      </c>
      <c r="E39" s="141" t="str">
        <f>IF(B39="","",VLOOKUP(B39,'BD Personal'!$A$6:$R$64,18,FALSE))</f>
        <v/>
      </c>
      <c r="F39" s="141" t="str">
        <f>IF(B39="","",VLOOKUP(B39,'BD Personal'!$A$6:$R$64,11,FALSE))</f>
        <v/>
      </c>
      <c r="G39" s="138" t="str">
        <f ca="1">IF(B39="","",INDIRECT("'"&amp;VLOOKUP(B39,'BD Personal'!$A$6:$R$64,4,FALSE)&amp;"'!H56"))</f>
        <v/>
      </c>
      <c r="H39" s="138" t="str">
        <f ca="1">IF(B39="","",INDIRECT("'"&amp;VLOOKUP(B39,'BD Personal'!$A$6:$R$64,4,FALSE)&amp;"'!I56"))</f>
        <v/>
      </c>
      <c r="I39" s="138" t="str">
        <f ca="1">IF(B39="","",INDIRECT("'"&amp;VLOOKUP(B39,'BD Personal'!$A$6:$R$64,4,FALSE)&amp;"'!J56"))</f>
        <v/>
      </c>
      <c r="J39" s="138" t="str">
        <f ca="1">IF(B39="","",INDIRECT("'"&amp;VLOOKUP(B39,'BD Personal'!$A$6:$R$64,4,FALSE)&amp;"'!K56"))</f>
        <v/>
      </c>
      <c r="K39" s="138" t="str">
        <f ca="1">IF(B39="","",INDIRECT("'"&amp;VLOOKUP(B39,'BD Personal'!$A$6:$R$64,4,FALSE)&amp;"'!L56"))</f>
        <v/>
      </c>
      <c r="L39" s="138" t="str">
        <f ca="1">IF(B39="","",INDIRECT("'"&amp;VLOOKUP(B39,'BD Personal'!$A$6:$R$64,4,FALSE)&amp;"'!M56"))</f>
        <v/>
      </c>
      <c r="M39" s="138" t="str">
        <f ca="1">IF(B39="","",INDIRECT("'"&amp;VLOOKUP(B39,'BD Personal'!$A$6:$R$64,4,FALSE)&amp;"'!N56"))</f>
        <v/>
      </c>
      <c r="N39" s="138" t="str">
        <f ca="1">IF(B39="","",INDIRECT("'"&amp;VLOOKUP(B39,'BD Personal'!$A$6:$R$64,4,FALSE)&amp;"'!O56"))</f>
        <v/>
      </c>
      <c r="O39" s="139"/>
      <c r="P39" s="139"/>
      <c r="Q39" s="139"/>
      <c r="R39" s="139"/>
      <c r="S39" s="138" t="str">
        <f ca="1">IF(B39="","",INDIRECT("'"&amp;VLOOKUP(B39,'BD Personal'!$A$6:$R$64,4,FALSE)&amp;"'!H60"))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Personal'!$A$6:$R$64,3,FALSE))&amp;" "&amp;IF(B40="","",VLOOKUP(B40,'BD Personal'!$A$6:$R$64,4,FALSE))</f>
        <v xml:space="preserve"> </v>
      </c>
      <c r="D40" s="141" t="str">
        <f>IF(B40="","",VLOOKUP(B40,'BD Personal'!$A$6:$R$64,17,FALSE))</f>
        <v/>
      </c>
      <c r="E40" s="141" t="str">
        <f>IF(B40="","",VLOOKUP(B40,'BD Personal'!$A$6:$R$64,18,FALSE))</f>
        <v/>
      </c>
      <c r="F40" s="141" t="str">
        <f>IF(B40="","",VLOOKUP(B40,'BD Personal'!$A$6:$R$64,11,FALSE))</f>
        <v/>
      </c>
      <c r="G40" s="138" t="str">
        <f ca="1">IF(B40="","",INDIRECT("'"&amp;VLOOKUP(B40,'BD Personal'!$A$6:$R$64,4,FALSE)&amp;"'!H56"))</f>
        <v/>
      </c>
      <c r="H40" s="138" t="str">
        <f ca="1">IF(B40="","",INDIRECT("'"&amp;VLOOKUP(B40,'BD Personal'!$A$6:$R$64,4,FALSE)&amp;"'!I56"))</f>
        <v/>
      </c>
      <c r="I40" s="138" t="str">
        <f ca="1">IF(B40="","",INDIRECT("'"&amp;VLOOKUP(B40,'BD Personal'!$A$6:$R$64,4,FALSE)&amp;"'!J56"))</f>
        <v/>
      </c>
      <c r="J40" s="138" t="str">
        <f ca="1">IF(B40="","",INDIRECT("'"&amp;VLOOKUP(B40,'BD Personal'!$A$6:$R$64,4,FALSE)&amp;"'!K56"))</f>
        <v/>
      </c>
      <c r="K40" s="138" t="str">
        <f ca="1">IF(B40="","",INDIRECT("'"&amp;VLOOKUP(B40,'BD Personal'!$A$6:$R$64,4,FALSE)&amp;"'!L56"))</f>
        <v/>
      </c>
      <c r="L40" s="138" t="str">
        <f ca="1">IF(B40="","",INDIRECT("'"&amp;VLOOKUP(B40,'BD Personal'!$A$6:$R$64,4,FALSE)&amp;"'!M56"))</f>
        <v/>
      </c>
      <c r="M40" s="138" t="str">
        <f ca="1">IF(B40="","",INDIRECT("'"&amp;VLOOKUP(B40,'BD Personal'!$A$6:$R$64,4,FALSE)&amp;"'!N56"))</f>
        <v/>
      </c>
      <c r="N40" s="138" t="str">
        <f ca="1">IF(B40="","",INDIRECT("'"&amp;VLOOKUP(B40,'BD Personal'!$A$6:$R$64,4,FALSE)&amp;"'!O56"))</f>
        <v/>
      </c>
      <c r="O40" s="139"/>
      <c r="P40" s="139"/>
      <c r="Q40" s="139"/>
      <c r="R40" s="139"/>
      <c r="S40" s="138" t="str">
        <f ca="1">IF(B40="","",INDIRECT("'"&amp;VLOOKUP(B40,'BD Personal'!$A$6:$R$64,4,FALSE)&amp;"'!H60"))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Personal'!$A$6:$R$64,3,FALSE))&amp;" "&amp;IF(B41="","",VLOOKUP(B41,'BD Personal'!$A$6:$R$64,4,FALSE))</f>
        <v xml:space="preserve"> </v>
      </c>
      <c r="D41" s="141" t="str">
        <f>IF(B41="","",VLOOKUP(B41,'BD Personal'!$A$6:$R$64,17,FALSE))</f>
        <v/>
      </c>
      <c r="E41" s="141" t="str">
        <f>IF(B41="","",VLOOKUP(B41,'BD Personal'!$A$6:$R$64,18,FALSE))</f>
        <v/>
      </c>
      <c r="F41" s="141" t="str">
        <f>IF(B41="","",VLOOKUP(B41,'BD Personal'!$A$6:$R$64,11,FALSE))</f>
        <v/>
      </c>
      <c r="G41" s="138" t="str">
        <f ca="1">IF(B41="","",INDIRECT("'"&amp;VLOOKUP(B41,'BD Personal'!$A$6:$R$64,4,FALSE)&amp;"'!H56"))</f>
        <v/>
      </c>
      <c r="H41" s="138" t="str">
        <f ca="1">IF(B41="","",INDIRECT("'"&amp;VLOOKUP(B41,'BD Personal'!$A$6:$R$64,4,FALSE)&amp;"'!I56"))</f>
        <v/>
      </c>
      <c r="I41" s="138" t="str">
        <f ca="1">IF(B41="","",INDIRECT("'"&amp;VLOOKUP(B41,'BD Personal'!$A$6:$R$64,4,FALSE)&amp;"'!J56"))</f>
        <v/>
      </c>
      <c r="J41" s="138" t="str">
        <f ca="1">IF(B41="","",INDIRECT("'"&amp;VLOOKUP(B41,'BD Personal'!$A$6:$R$64,4,FALSE)&amp;"'!K56"))</f>
        <v/>
      </c>
      <c r="K41" s="138" t="str">
        <f ca="1">IF(B41="","",INDIRECT("'"&amp;VLOOKUP(B41,'BD Personal'!$A$6:$R$64,4,FALSE)&amp;"'!L56"))</f>
        <v/>
      </c>
      <c r="L41" s="138" t="str">
        <f ca="1">IF(B41="","",INDIRECT("'"&amp;VLOOKUP(B41,'BD Personal'!$A$6:$R$64,4,FALSE)&amp;"'!M56"))</f>
        <v/>
      </c>
      <c r="M41" s="138" t="str">
        <f ca="1">IF(B41="","",INDIRECT("'"&amp;VLOOKUP(B41,'BD Personal'!$A$6:$R$64,4,FALSE)&amp;"'!N56"))</f>
        <v/>
      </c>
      <c r="N41" s="138" t="str">
        <f ca="1">IF(B41="","",INDIRECT("'"&amp;VLOOKUP(B41,'BD Personal'!$A$6:$R$64,4,FALSE)&amp;"'!O56"))</f>
        <v/>
      </c>
      <c r="O41" s="139"/>
      <c r="P41" s="139"/>
      <c r="Q41" s="139"/>
      <c r="R41" s="139"/>
      <c r="S41" s="138" t="str">
        <f ca="1">IF(B41="","",INDIRECT("'"&amp;VLOOKUP(B41,'BD Personal'!$A$6:$R$64,4,FALSE)&amp;"'!H60"))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Personal'!$A$6:$R$64,3,FALSE))&amp;" "&amp;IF(B42="","",VLOOKUP(B42,'BD Personal'!$A$6:$R$64,4,FALSE))</f>
        <v xml:space="preserve"> </v>
      </c>
      <c r="D42" s="141" t="str">
        <f>IF(B42="","",VLOOKUP(B42,'BD Personal'!$A$6:$R$64,17,FALSE))</f>
        <v/>
      </c>
      <c r="E42" s="141" t="str">
        <f>IF(B42="","",VLOOKUP(B42,'BD Personal'!$A$6:$R$64,18,FALSE))</f>
        <v/>
      </c>
      <c r="F42" s="141" t="str">
        <f>IF(B42="","",VLOOKUP(B42,'BD Personal'!$A$6:$R$64,11,FALSE))</f>
        <v/>
      </c>
      <c r="G42" s="138" t="str">
        <f ca="1">IF(B42="","",INDIRECT("'"&amp;VLOOKUP(B42,'BD Personal'!$A$6:$R$64,4,FALSE)&amp;"'!H56"))</f>
        <v/>
      </c>
      <c r="H42" s="138" t="str">
        <f ca="1">IF(B42="","",INDIRECT("'"&amp;VLOOKUP(B42,'BD Personal'!$A$6:$R$64,4,FALSE)&amp;"'!I56"))</f>
        <v/>
      </c>
      <c r="I42" s="138" t="str">
        <f ca="1">IF(B42="","",INDIRECT("'"&amp;VLOOKUP(B42,'BD Personal'!$A$6:$R$64,4,FALSE)&amp;"'!J56"))</f>
        <v/>
      </c>
      <c r="J42" s="138" t="str">
        <f ca="1">IF(B42="","",INDIRECT("'"&amp;VLOOKUP(B42,'BD Personal'!$A$6:$R$64,4,FALSE)&amp;"'!K56"))</f>
        <v/>
      </c>
      <c r="K42" s="138" t="str">
        <f ca="1">IF(B42="","",INDIRECT("'"&amp;VLOOKUP(B42,'BD Personal'!$A$6:$R$64,4,FALSE)&amp;"'!L56"))</f>
        <v/>
      </c>
      <c r="L42" s="138" t="str">
        <f ca="1">IF(B42="","",INDIRECT("'"&amp;VLOOKUP(B42,'BD Personal'!$A$6:$R$64,4,FALSE)&amp;"'!M56"))</f>
        <v/>
      </c>
      <c r="M42" s="138" t="str">
        <f ca="1">IF(B42="","",INDIRECT("'"&amp;VLOOKUP(B42,'BD Personal'!$A$6:$R$64,4,FALSE)&amp;"'!N56"))</f>
        <v/>
      </c>
      <c r="N42" s="138" t="str">
        <f ca="1">IF(B42="","",INDIRECT("'"&amp;VLOOKUP(B42,'BD Personal'!$A$6:$R$64,4,FALSE)&amp;"'!O56"))</f>
        <v/>
      </c>
      <c r="O42" s="139"/>
      <c r="P42" s="139"/>
      <c r="Q42" s="139"/>
      <c r="R42" s="139"/>
      <c r="S42" s="138" t="str">
        <f ca="1">IF(B42="","",INDIRECT("'"&amp;VLOOKUP(B42,'BD Personal'!$A$6:$R$64,4,FALSE)&amp;"'!H60"))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Personal'!$A$6:$R$64,3,FALSE))&amp;" "&amp;IF(B43="","",VLOOKUP(B43,'BD Personal'!$A$6:$R$64,4,FALSE))</f>
        <v xml:space="preserve"> </v>
      </c>
      <c r="D43" s="141" t="str">
        <f>IF(B43="","",VLOOKUP(B43,'BD Personal'!$A$6:$R$64,17,FALSE))</f>
        <v/>
      </c>
      <c r="E43" s="141" t="str">
        <f>IF(B43="","",VLOOKUP(B43,'BD Personal'!$A$6:$R$64,18,FALSE))</f>
        <v/>
      </c>
      <c r="F43" s="141" t="str">
        <f>IF(B43="","",VLOOKUP(B43,'BD Personal'!$A$6:$R$64,11,FALSE))</f>
        <v/>
      </c>
      <c r="G43" s="138" t="str">
        <f ca="1">IF(B43="","",INDIRECT("'"&amp;VLOOKUP(B43,'BD Personal'!$A$6:$R$64,4,FALSE)&amp;"'!H56"))</f>
        <v/>
      </c>
      <c r="H43" s="138" t="str">
        <f ca="1">IF(B43="","",INDIRECT("'"&amp;VLOOKUP(B43,'BD Personal'!$A$6:$R$64,4,FALSE)&amp;"'!I56"))</f>
        <v/>
      </c>
      <c r="I43" s="138" t="str">
        <f ca="1">IF(B43="","",INDIRECT("'"&amp;VLOOKUP(B43,'BD Personal'!$A$6:$R$64,4,FALSE)&amp;"'!J56"))</f>
        <v/>
      </c>
      <c r="J43" s="138" t="str">
        <f ca="1">IF(B43="","",INDIRECT("'"&amp;VLOOKUP(B43,'BD Personal'!$A$6:$R$64,4,FALSE)&amp;"'!K56"))</f>
        <v/>
      </c>
      <c r="K43" s="138" t="str">
        <f ca="1">IF(B43="","",INDIRECT("'"&amp;VLOOKUP(B43,'BD Personal'!$A$6:$R$64,4,FALSE)&amp;"'!L56"))</f>
        <v/>
      </c>
      <c r="L43" s="138" t="str">
        <f ca="1">IF(B43="","",INDIRECT("'"&amp;VLOOKUP(B43,'BD Personal'!$A$6:$R$64,4,FALSE)&amp;"'!M56"))</f>
        <v/>
      </c>
      <c r="M43" s="138" t="str">
        <f ca="1">IF(B43="","",INDIRECT("'"&amp;VLOOKUP(B43,'BD Personal'!$A$6:$R$64,4,FALSE)&amp;"'!N56"))</f>
        <v/>
      </c>
      <c r="N43" s="138" t="str">
        <f ca="1">IF(B43="","",INDIRECT("'"&amp;VLOOKUP(B43,'BD Personal'!$A$6:$R$64,4,FALSE)&amp;"'!O56"))</f>
        <v/>
      </c>
      <c r="O43" s="139"/>
      <c r="P43" s="139"/>
      <c r="Q43" s="139"/>
      <c r="R43" s="139"/>
      <c r="S43" s="138" t="str">
        <f ca="1">IF(B43="","",INDIRECT("'"&amp;VLOOKUP(B43,'BD Personal'!$A$6:$R$64,4,FALSE)&amp;"'!H60"))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Personal'!$A$6:$R$64,3,FALSE))&amp;" "&amp;IF(B44="","",VLOOKUP(B44,'BD Personal'!$A$6:$R$64,4,FALSE))</f>
        <v xml:space="preserve"> </v>
      </c>
      <c r="D44" s="141" t="str">
        <f>IF(B44="","",VLOOKUP(B44,'BD Personal'!$A$6:$R$64,17,FALSE))</f>
        <v/>
      </c>
      <c r="E44" s="141" t="str">
        <f>IF(B44="","",VLOOKUP(B44,'BD Personal'!$A$6:$R$64,18,FALSE))</f>
        <v/>
      </c>
      <c r="F44" s="141" t="str">
        <f>IF(B44="","",VLOOKUP(B44,'BD Personal'!$A$6:$R$64,11,FALSE))</f>
        <v/>
      </c>
      <c r="G44" s="138" t="str">
        <f ca="1">IF(B44="","",INDIRECT("'"&amp;VLOOKUP(B44,'BD Personal'!$A$6:$R$64,4,FALSE)&amp;"'!H56"))</f>
        <v/>
      </c>
      <c r="H44" s="138" t="str">
        <f ca="1">IF(B44="","",INDIRECT("'"&amp;VLOOKUP(B44,'BD Personal'!$A$6:$R$64,4,FALSE)&amp;"'!I56"))</f>
        <v/>
      </c>
      <c r="I44" s="138" t="str">
        <f ca="1">IF(B44="","",INDIRECT("'"&amp;VLOOKUP(B44,'BD Personal'!$A$6:$R$64,4,FALSE)&amp;"'!J56"))</f>
        <v/>
      </c>
      <c r="J44" s="138" t="str">
        <f ca="1">IF(B44="","",INDIRECT("'"&amp;VLOOKUP(B44,'BD Personal'!$A$6:$R$64,4,FALSE)&amp;"'!K56"))</f>
        <v/>
      </c>
      <c r="K44" s="138" t="str">
        <f ca="1">IF(B44="","",INDIRECT("'"&amp;VLOOKUP(B44,'BD Personal'!$A$6:$R$64,4,FALSE)&amp;"'!L56"))</f>
        <v/>
      </c>
      <c r="L44" s="138" t="str">
        <f ca="1">IF(B44="","",INDIRECT("'"&amp;VLOOKUP(B44,'BD Personal'!$A$6:$R$64,4,FALSE)&amp;"'!M56"))</f>
        <v/>
      </c>
      <c r="M44" s="138" t="str">
        <f ca="1">IF(B44="","",INDIRECT("'"&amp;VLOOKUP(B44,'BD Personal'!$A$6:$R$64,4,FALSE)&amp;"'!N56"))</f>
        <v/>
      </c>
      <c r="N44" s="138" t="str">
        <f ca="1">IF(B44="","",INDIRECT("'"&amp;VLOOKUP(B44,'BD Personal'!$A$6:$R$64,4,FALSE)&amp;"'!O56"))</f>
        <v/>
      </c>
      <c r="O44" s="139"/>
      <c r="P44" s="139"/>
      <c r="Q44" s="139"/>
      <c r="R44" s="139"/>
      <c r="S44" s="138" t="str">
        <f ca="1">IF(B44="","",INDIRECT("'"&amp;VLOOKUP(B44,'BD Personal'!$A$6:$R$64,4,FALSE)&amp;"'!H60"))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Personal'!$A$6:$R$64,3,FALSE))&amp;" "&amp;IF(B45="","",VLOOKUP(B45,'BD Personal'!$A$6:$R$64,4,FALSE))</f>
        <v xml:space="preserve"> </v>
      </c>
      <c r="D45" s="141" t="str">
        <f>IF(B45="","",VLOOKUP(B45,'BD Personal'!$A$6:$R$64,17,FALSE))</f>
        <v/>
      </c>
      <c r="E45" s="141" t="str">
        <f>IF(B45="","",VLOOKUP(B45,'BD Personal'!$A$6:$R$64,18,FALSE))</f>
        <v/>
      </c>
      <c r="F45" s="141" t="str">
        <f>IF(B45="","",VLOOKUP(B45,'BD Personal'!$A$6:$R$64,11,FALSE))</f>
        <v/>
      </c>
      <c r="G45" s="138" t="str">
        <f ca="1">IF(B45="","",INDIRECT("'"&amp;VLOOKUP(B45,'BD Personal'!$A$6:$R$64,4,FALSE)&amp;"'!H56"))</f>
        <v/>
      </c>
      <c r="H45" s="138" t="str">
        <f ca="1">IF(B45="","",INDIRECT("'"&amp;VLOOKUP(B45,'BD Personal'!$A$6:$R$64,4,FALSE)&amp;"'!I56"))</f>
        <v/>
      </c>
      <c r="I45" s="138" t="str">
        <f ca="1">IF(B45="","",INDIRECT("'"&amp;VLOOKUP(B45,'BD Personal'!$A$6:$R$64,4,FALSE)&amp;"'!J56"))</f>
        <v/>
      </c>
      <c r="J45" s="138" t="str">
        <f ca="1">IF(B45="","",INDIRECT("'"&amp;VLOOKUP(B45,'BD Personal'!$A$6:$R$64,4,FALSE)&amp;"'!K56"))</f>
        <v/>
      </c>
      <c r="K45" s="138" t="str">
        <f ca="1">IF(B45="","",INDIRECT("'"&amp;VLOOKUP(B45,'BD Personal'!$A$6:$R$64,4,FALSE)&amp;"'!L56"))</f>
        <v/>
      </c>
      <c r="L45" s="138" t="str">
        <f ca="1">IF(B45="","",INDIRECT("'"&amp;VLOOKUP(B45,'BD Personal'!$A$6:$R$64,4,FALSE)&amp;"'!M56"))</f>
        <v/>
      </c>
      <c r="M45" s="138" t="str">
        <f ca="1">IF(B45="","",INDIRECT("'"&amp;VLOOKUP(B45,'BD Personal'!$A$6:$R$64,4,FALSE)&amp;"'!N56"))</f>
        <v/>
      </c>
      <c r="N45" s="138" t="str">
        <f ca="1">IF(B45="","",INDIRECT("'"&amp;VLOOKUP(B45,'BD Personal'!$A$6:$R$64,4,FALSE)&amp;"'!O56"))</f>
        <v/>
      </c>
      <c r="O45" s="139"/>
      <c r="P45" s="139"/>
      <c r="Q45" s="139"/>
      <c r="R45" s="139"/>
      <c r="S45" s="138" t="str">
        <f ca="1">IF(B45="","",INDIRECT("'"&amp;VLOOKUP(B45,'BD Personal'!$A$6:$R$64,4,FALSE)&amp;"'!H60"))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Personal'!$A$6:$R$64,3,FALSE))&amp;" "&amp;IF(B46="","",VLOOKUP(B46,'BD Personal'!$A$6:$R$64,4,FALSE))</f>
        <v xml:space="preserve"> </v>
      </c>
      <c r="D46" s="141" t="str">
        <f>IF(B46="","",VLOOKUP(B46,'BD Personal'!$A$6:$R$64,17,FALSE))</f>
        <v/>
      </c>
      <c r="E46" s="141" t="str">
        <f>IF(B46="","",VLOOKUP(B46,'BD Personal'!$A$6:$R$64,18,FALSE))</f>
        <v/>
      </c>
      <c r="F46" s="141" t="str">
        <f>IF(B46="","",VLOOKUP(B46,'BD Personal'!$A$6:$R$64,11,FALSE))</f>
        <v/>
      </c>
      <c r="G46" s="138" t="str">
        <f ca="1">IF(B46="","",INDIRECT("'"&amp;VLOOKUP(B46,'BD Personal'!$A$6:$R$64,4,FALSE)&amp;"'!H56"))</f>
        <v/>
      </c>
      <c r="H46" s="138" t="str">
        <f ca="1">IF(B46="","",INDIRECT("'"&amp;VLOOKUP(B46,'BD Personal'!$A$6:$R$64,4,FALSE)&amp;"'!I56"))</f>
        <v/>
      </c>
      <c r="I46" s="138" t="str">
        <f ca="1">IF(B46="","",INDIRECT("'"&amp;VLOOKUP(B46,'BD Personal'!$A$6:$R$64,4,FALSE)&amp;"'!J56"))</f>
        <v/>
      </c>
      <c r="J46" s="138" t="str">
        <f ca="1">IF(B46="","",INDIRECT("'"&amp;VLOOKUP(B46,'BD Personal'!$A$6:$R$64,4,FALSE)&amp;"'!K56"))</f>
        <v/>
      </c>
      <c r="K46" s="138" t="str">
        <f ca="1">IF(B46="","",INDIRECT("'"&amp;VLOOKUP(B46,'BD Personal'!$A$6:$R$64,4,FALSE)&amp;"'!L56"))</f>
        <v/>
      </c>
      <c r="L46" s="138" t="str">
        <f ca="1">IF(B46="","",INDIRECT("'"&amp;VLOOKUP(B46,'BD Personal'!$A$6:$R$64,4,FALSE)&amp;"'!M56"))</f>
        <v/>
      </c>
      <c r="M46" s="138" t="str">
        <f ca="1">IF(B46="","",INDIRECT("'"&amp;VLOOKUP(B46,'BD Personal'!$A$6:$R$64,4,FALSE)&amp;"'!N56"))</f>
        <v/>
      </c>
      <c r="N46" s="138" t="str">
        <f ca="1">IF(B46="","",INDIRECT("'"&amp;VLOOKUP(B46,'BD Personal'!$A$6:$R$64,4,FALSE)&amp;"'!O56"))</f>
        <v/>
      </c>
      <c r="O46" s="139"/>
      <c r="P46" s="139"/>
      <c r="Q46" s="139"/>
      <c r="R46" s="139"/>
      <c r="S46" s="138" t="str">
        <f ca="1">IF(B46="","",INDIRECT("'"&amp;VLOOKUP(B46,'BD Personal'!$A$6:$R$64,4,FALSE)&amp;"'!H60"))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Personal'!$A$6:$R$64,3,FALSE))&amp;" "&amp;IF(B47="","",VLOOKUP(B47,'BD Personal'!$A$6:$R$64,4,FALSE))</f>
        <v xml:space="preserve"> </v>
      </c>
      <c r="D47" s="141" t="str">
        <f>IF(B47="","",VLOOKUP(B47,'BD Personal'!$A$6:$R$64,17,FALSE))</f>
        <v/>
      </c>
      <c r="E47" s="141" t="str">
        <f>IF(B47="","",VLOOKUP(B47,'BD Personal'!$A$6:$R$64,18,FALSE))</f>
        <v/>
      </c>
      <c r="F47" s="141" t="str">
        <f>IF(B47="","",VLOOKUP(B47,'BD Personal'!$A$6:$R$64,11,FALSE))</f>
        <v/>
      </c>
      <c r="G47" s="138" t="str">
        <f ca="1">IF(B47="","",INDIRECT("'"&amp;VLOOKUP(B47,'BD Personal'!$A$6:$R$64,4,FALSE)&amp;"'!H56"))</f>
        <v/>
      </c>
      <c r="H47" s="138" t="str">
        <f ca="1">IF(B47="","",INDIRECT("'"&amp;VLOOKUP(B47,'BD Personal'!$A$6:$R$64,4,FALSE)&amp;"'!I56"))</f>
        <v/>
      </c>
      <c r="I47" s="138" t="str">
        <f ca="1">IF(B47="","",INDIRECT("'"&amp;VLOOKUP(B47,'BD Personal'!$A$6:$R$64,4,FALSE)&amp;"'!J56"))</f>
        <v/>
      </c>
      <c r="J47" s="138" t="str">
        <f ca="1">IF(B47="","",INDIRECT("'"&amp;VLOOKUP(B47,'BD Personal'!$A$6:$R$64,4,FALSE)&amp;"'!K56"))</f>
        <v/>
      </c>
      <c r="K47" s="138" t="str">
        <f ca="1">IF(B47="","",INDIRECT("'"&amp;VLOOKUP(B47,'BD Personal'!$A$6:$R$64,4,FALSE)&amp;"'!L56"))</f>
        <v/>
      </c>
      <c r="L47" s="138" t="str">
        <f ca="1">IF(B47="","",INDIRECT("'"&amp;VLOOKUP(B47,'BD Personal'!$A$6:$R$64,4,FALSE)&amp;"'!M56"))</f>
        <v/>
      </c>
      <c r="M47" s="138" t="str">
        <f ca="1">IF(B47="","",INDIRECT("'"&amp;VLOOKUP(B47,'BD Personal'!$A$6:$R$64,4,FALSE)&amp;"'!N56"))</f>
        <v/>
      </c>
      <c r="N47" s="138" t="str">
        <f ca="1">IF(B47="","",INDIRECT("'"&amp;VLOOKUP(B47,'BD Personal'!$A$6:$R$64,4,FALSE)&amp;"'!O56"))</f>
        <v/>
      </c>
      <c r="O47" s="139"/>
      <c r="P47" s="139"/>
      <c r="Q47" s="139"/>
      <c r="R47" s="139"/>
      <c r="S47" s="138" t="str">
        <f ca="1">IF(B47="","",INDIRECT("'"&amp;VLOOKUP(B47,'BD Personal'!$A$6:$R$64,4,FALSE)&amp;"'!H60"))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Personal'!$A$6:$R$64,3,FALSE))&amp;" "&amp;IF(B48="","",VLOOKUP(B48,'BD Personal'!$A$6:$R$64,4,FALSE))</f>
        <v xml:space="preserve"> </v>
      </c>
      <c r="D48" s="141" t="str">
        <f>IF(B48="","",VLOOKUP(B48,'BD Personal'!$A$6:$R$64,17,FALSE))</f>
        <v/>
      </c>
      <c r="E48" s="141" t="str">
        <f>IF(B48="","",VLOOKUP(B48,'BD Personal'!$A$6:$R$64,18,FALSE))</f>
        <v/>
      </c>
      <c r="F48" s="141" t="str">
        <f>IF(B48="","",VLOOKUP(B48,'BD Personal'!$A$6:$R$64,11,FALSE))</f>
        <v/>
      </c>
      <c r="G48" s="138" t="str">
        <f ca="1">IF(B48="","",INDIRECT("'"&amp;VLOOKUP(B48,'BD Personal'!$A$6:$R$64,4,FALSE)&amp;"'!H56"))</f>
        <v/>
      </c>
      <c r="H48" s="138" t="str">
        <f ca="1">IF(B48="","",INDIRECT("'"&amp;VLOOKUP(B48,'BD Personal'!$A$6:$R$64,4,FALSE)&amp;"'!I56"))</f>
        <v/>
      </c>
      <c r="I48" s="138" t="str">
        <f ca="1">IF(B48="","",INDIRECT("'"&amp;VLOOKUP(B48,'BD Personal'!$A$6:$R$64,4,FALSE)&amp;"'!J56"))</f>
        <v/>
      </c>
      <c r="J48" s="138" t="str">
        <f ca="1">IF(B48="","",INDIRECT("'"&amp;VLOOKUP(B48,'BD Personal'!$A$6:$R$64,4,FALSE)&amp;"'!K56"))</f>
        <v/>
      </c>
      <c r="K48" s="138" t="str">
        <f ca="1">IF(B48="","",INDIRECT("'"&amp;VLOOKUP(B48,'BD Personal'!$A$6:$R$64,4,FALSE)&amp;"'!L56"))</f>
        <v/>
      </c>
      <c r="L48" s="138" t="str">
        <f ca="1">IF(B48="","",INDIRECT("'"&amp;VLOOKUP(B48,'BD Personal'!$A$6:$R$64,4,FALSE)&amp;"'!M56"))</f>
        <v/>
      </c>
      <c r="M48" s="138" t="str">
        <f ca="1">IF(B48="","",INDIRECT("'"&amp;VLOOKUP(B48,'BD Personal'!$A$6:$R$64,4,FALSE)&amp;"'!N56"))</f>
        <v/>
      </c>
      <c r="N48" s="138" t="str">
        <f ca="1">IF(B48="","",INDIRECT("'"&amp;VLOOKUP(B48,'BD Personal'!$A$6:$R$64,4,FALSE)&amp;"'!O56"))</f>
        <v/>
      </c>
      <c r="O48" s="139"/>
      <c r="P48" s="139"/>
      <c r="Q48" s="139"/>
      <c r="R48" s="139"/>
      <c r="S48" s="138" t="str">
        <f ca="1">IF(B48="","",INDIRECT("'"&amp;VLOOKUP(B48,'BD Personal'!$A$6:$R$64,4,FALSE)&amp;"'!H60"))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Personal'!$A$6:$R$64,3,FALSE))&amp;" "&amp;IF(B49="","",VLOOKUP(B49,'BD Personal'!$A$6:$R$64,4,FALSE))</f>
        <v xml:space="preserve"> </v>
      </c>
      <c r="D49" s="141" t="str">
        <f>IF(B49="","",VLOOKUP(B49,'BD Personal'!$A$6:$R$64,17,FALSE))</f>
        <v/>
      </c>
      <c r="E49" s="141" t="str">
        <f>IF(B49="","",VLOOKUP(B49,'BD Personal'!$A$6:$R$64,18,FALSE))</f>
        <v/>
      </c>
      <c r="F49" s="141" t="str">
        <f>IF(B49="","",VLOOKUP(B49,'BD Personal'!$A$6:$R$64,11,FALSE))</f>
        <v/>
      </c>
      <c r="G49" s="138" t="str">
        <f ca="1">IF(B49="","",INDIRECT("'"&amp;VLOOKUP(B49,'BD Personal'!$A$6:$R$64,4,FALSE)&amp;"'!H56"))</f>
        <v/>
      </c>
      <c r="H49" s="138" t="str">
        <f ca="1">IF(B49="","",INDIRECT("'"&amp;VLOOKUP(B49,'BD Personal'!$A$6:$R$64,4,FALSE)&amp;"'!I56"))</f>
        <v/>
      </c>
      <c r="I49" s="138" t="str">
        <f ca="1">IF(B49="","",INDIRECT("'"&amp;VLOOKUP(B49,'BD Personal'!$A$6:$R$64,4,FALSE)&amp;"'!J56"))</f>
        <v/>
      </c>
      <c r="J49" s="138" t="str">
        <f ca="1">IF(B49="","",INDIRECT("'"&amp;VLOOKUP(B49,'BD Personal'!$A$6:$R$64,4,FALSE)&amp;"'!K56"))</f>
        <v/>
      </c>
      <c r="K49" s="138" t="str">
        <f ca="1">IF(B49="","",INDIRECT("'"&amp;VLOOKUP(B49,'BD Personal'!$A$6:$R$64,4,FALSE)&amp;"'!L56"))</f>
        <v/>
      </c>
      <c r="L49" s="138" t="str">
        <f ca="1">IF(B49="","",INDIRECT("'"&amp;VLOOKUP(B49,'BD Personal'!$A$6:$R$64,4,FALSE)&amp;"'!M56"))</f>
        <v/>
      </c>
      <c r="M49" s="138" t="str">
        <f ca="1">IF(B49="","",INDIRECT("'"&amp;VLOOKUP(B49,'BD Personal'!$A$6:$R$64,4,FALSE)&amp;"'!N56"))</f>
        <v/>
      </c>
      <c r="N49" s="138" t="str">
        <f ca="1">IF(B49="","",INDIRECT("'"&amp;VLOOKUP(B49,'BD Personal'!$A$6:$R$64,4,FALSE)&amp;"'!O56"))</f>
        <v/>
      </c>
      <c r="O49" s="139"/>
      <c r="P49" s="139"/>
      <c r="Q49" s="139"/>
      <c r="R49" s="139"/>
      <c r="S49" s="138" t="str">
        <f ca="1">IF(B49="","",INDIRECT("'"&amp;VLOOKUP(B49,'BD Personal'!$A$6:$R$64,4,FALSE)&amp;"'!H60"))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Personal'!$A$6:$R$64,3,FALSE))&amp;" "&amp;IF(B50="","",VLOOKUP(B50,'BD Personal'!$A$6:$R$64,4,FALSE))</f>
        <v xml:space="preserve"> </v>
      </c>
      <c r="D50" s="141" t="str">
        <f>IF(B50="","",VLOOKUP(B50,'BD Personal'!$A$6:$R$64,17,FALSE))</f>
        <v/>
      </c>
      <c r="E50" s="141" t="str">
        <f>IF(B50="","",VLOOKUP(B50,'BD Personal'!$A$6:$R$64,18,FALSE))</f>
        <v/>
      </c>
      <c r="F50" s="141" t="str">
        <f>IF(B50="","",VLOOKUP(B50,'BD Personal'!$A$6:$R$64,11,FALSE))</f>
        <v/>
      </c>
      <c r="G50" s="138" t="str">
        <f ca="1">IF(B50="","",INDIRECT("'"&amp;VLOOKUP(B50,'BD Personal'!$A$6:$R$64,4,FALSE)&amp;"'!H56"))</f>
        <v/>
      </c>
      <c r="H50" s="138" t="str">
        <f ca="1">IF(B50="","",INDIRECT("'"&amp;VLOOKUP(B50,'BD Personal'!$A$6:$R$64,4,FALSE)&amp;"'!I56"))</f>
        <v/>
      </c>
      <c r="I50" s="138" t="str">
        <f ca="1">IF(B50="","",INDIRECT("'"&amp;VLOOKUP(B50,'BD Personal'!$A$6:$R$64,4,FALSE)&amp;"'!J56"))</f>
        <v/>
      </c>
      <c r="J50" s="138" t="str">
        <f ca="1">IF(B50="","",INDIRECT("'"&amp;VLOOKUP(B50,'BD Personal'!$A$6:$R$64,4,FALSE)&amp;"'!K56"))</f>
        <v/>
      </c>
      <c r="K50" s="138" t="str">
        <f ca="1">IF(B50="","",INDIRECT("'"&amp;VLOOKUP(B50,'BD Personal'!$A$6:$R$64,4,FALSE)&amp;"'!L56"))</f>
        <v/>
      </c>
      <c r="L50" s="138" t="str">
        <f ca="1">IF(B50="","",INDIRECT("'"&amp;VLOOKUP(B50,'BD Personal'!$A$6:$R$64,4,FALSE)&amp;"'!M56"))</f>
        <v/>
      </c>
      <c r="M50" s="138" t="str">
        <f ca="1">IF(B50="","",INDIRECT("'"&amp;VLOOKUP(B50,'BD Personal'!$A$6:$R$64,4,FALSE)&amp;"'!N56"))</f>
        <v/>
      </c>
      <c r="N50" s="138" t="str">
        <f ca="1">IF(B50="","",INDIRECT("'"&amp;VLOOKUP(B50,'BD Personal'!$A$6:$R$64,4,FALSE)&amp;"'!O56"))</f>
        <v/>
      </c>
      <c r="O50" s="139"/>
      <c r="P50" s="139"/>
      <c r="Q50" s="139"/>
      <c r="R50" s="139"/>
      <c r="S50" s="138" t="str">
        <f ca="1">IF(B50="","",INDIRECT("'"&amp;VLOOKUP(B50,'BD Personal'!$A$6:$R$64,4,FALSE)&amp;"'!H60"))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  <mergeCell ref="A5:C5"/>
    <mergeCell ref="D5:E5"/>
    <mergeCell ref="A6:A8"/>
    <mergeCell ref="B6:B8"/>
    <mergeCell ref="C6:C8"/>
    <mergeCell ref="D6:D8"/>
    <mergeCell ref="E6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M10" sqref="M10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32"/>
      <c r="C1" s="333"/>
      <c r="D1" s="333"/>
      <c r="E1" s="333"/>
      <c r="F1" s="320" t="s">
        <v>15</v>
      </c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320"/>
      <c r="W1" s="320"/>
      <c r="X1" s="320"/>
      <c r="Y1" s="320"/>
      <c r="Z1" s="320"/>
      <c r="AA1" s="320"/>
      <c r="AB1" s="320"/>
      <c r="AC1" s="320"/>
      <c r="AD1" s="320"/>
      <c r="AE1" s="320"/>
      <c r="AF1" s="320"/>
      <c r="AG1" s="320"/>
      <c r="AH1" s="320"/>
      <c r="AI1" s="320"/>
      <c r="AJ1" s="323"/>
      <c r="AK1" s="20"/>
    </row>
    <row r="2" spans="2:40" ht="15" customHeight="1" x14ac:dyDescent="0.25">
      <c r="B2" s="334"/>
      <c r="C2" s="335"/>
      <c r="D2" s="335"/>
      <c r="E2" s="335"/>
      <c r="F2" s="321"/>
      <c r="G2" s="321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1"/>
      <c r="AA2" s="321"/>
      <c r="AB2" s="321"/>
      <c r="AC2" s="321"/>
      <c r="AD2" s="321"/>
      <c r="AE2" s="321"/>
      <c r="AF2" s="321"/>
      <c r="AG2" s="321"/>
      <c r="AH2" s="321"/>
      <c r="AI2" s="321"/>
      <c r="AJ2" s="324"/>
      <c r="AK2" s="21"/>
    </row>
    <row r="3" spans="2:40" ht="15" customHeight="1" x14ac:dyDescent="0.25">
      <c r="B3" s="334"/>
      <c r="C3" s="335"/>
      <c r="D3" s="335"/>
      <c r="E3" s="335"/>
      <c r="F3" s="321"/>
      <c r="G3" s="321"/>
      <c r="H3" s="321"/>
      <c r="I3" s="321"/>
      <c r="J3" s="321"/>
      <c r="K3" s="321"/>
      <c r="L3" s="321"/>
      <c r="M3" s="321"/>
      <c r="N3" s="321"/>
      <c r="O3" s="321"/>
      <c r="P3" s="321"/>
      <c r="Q3" s="321"/>
      <c r="R3" s="321"/>
      <c r="S3" s="321"/>
      <c r="T3" s="321"/>
      <c r="U3" s="321"/>
      <c r="V3" s="321"/>
      <c r="W3" s="321"/>
      <c r="X3" s="321"/>
      <c r="Y3" s="321"/>
      <c r="Z3" s="321"/>
      <c r="AA3" s="321"/>
      <c r="AB3" s="321"/>
      <c r="AC3" s="321"/>
      <c r="AD3" s="321"/>
      <c r="AE3" s="321"/>
      <c r="AF3" s="321"/>
      <c r="AG3" s="321"/>
      <c r="AH3" s="321"/>
      <c r="AI3" s="321"/>
      <c r="AJ3" s="324"/>
      <c r="AK3" s="21"/>
    </row>
    <row r="4" spans="2:40" ht="15" customHeight="1" x14ac:dyDescent="0.25">
      <c r="B4" s="334"/>
      <c r="C4" s="335"/>
      <c r="D4" s="335"/>
      <c r="E4" s="335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1"/>
      <c r="S4" s="321"/>
      <c r="T4" s="321"/>
      <c r="U4" s="321"/>
      <c r="V4" s="321"/>
      <c r="W4" s="321"/>
      <c r="X4" s="321"/>
      <c r="Y4" s="321"/>
      <c r="Z4" s="321"/>
      <c r="AA4" s="321"/>
      <c r="AB4" s="321"/>
      <c r="AC4" s="321"/>
      <c r="AD4" s="321"/>
      <c r="AE4" s="321"/>
      <c r="AF4" s="321"/>
      <c r="AG4" s="321"/>
      <c r="AH4" s="321"/>
      <c r="AI4" s="321"/>
      <c r="AJ4" s="324"/>
      <c r="AK4" s="21"/>
    </row>
    <row r="5" spans="2:40" ht="19.5" customHeight="1" thickBot="1" x14ac:dyDescent="0.3">
      <c r="B5" s="336"/>
      <c r="C5" s="337"/>
      <c r="D5" s="337"/>
      <c r="E5" s="337"/>
      <c r="F5" s="322"/>
      <c r="G5" s="322"/>
      <c r="H5" s="322"/>
      <c r="I5" s="322"/>
      <c r="J5" s="322"/>
      <c r="K5" s="322"/>
      <c r="L5" s="322"/>
      <c r="M5" s="322"/>
      <c r="N5" s="322"/>
      <c r="O5" s="322"/>
      <c r="P5" s="322"/>
      <c r="Q5" s="322"/>
      <c r="R5" s="322"/>
      <c r="S5" s="322"/>
      <c r="T5" s="322"/>
      <c r="U5" s="322"/>
      <c r="V5" s="322"/>
      <c r="W5" s="322"/>
      <c r="X5" s="322"/>
      <c r="Y5" s="322"/>
      <c r="Z5" s="322"/>
      <c r="AA5" s="322"/>
      <c r="AB5" s="322"/>
      <c r="AC5" s="322"/>
      <c r="AD5" s="322"/>
      <c r="AE5" s="322"/>
      <c r="AF5" s="322"/>
      <c r="AG5" s="322"/>
      <c r="AH5" s="322"/>
      <c r="AI5" s="322"/>
      <c r="AJ5" s="325"/>
      <c r="AK5" s="22"/>
    </row>
    <row r="6" spans="2:40" ht="15" customHeight="1" x14ac:dyDescent="0.25">
      <c r="B6" s="326" t="s">
        <v>281</v>
      </c>
      <c r="C6" s="327"/>
      <c r="D6" s="327"/>
      <c r="E6" s="330">
        <v>2020</v>
      </c>
      <c r="F6" s="314" t="str">
        <f>TEXT(F8,"ddd")</f>
        <v>sáb</v>
      </c>
      <c r="G6" s="314" t="str">
        <f t="shared" ref="G6:AJ6" si="0">TEXT(G8,"ddd")</f>
        <v>dom</v>
      </c>
      <c r="H6" s="314" t="str">
        <f t="shared" si="0"/>
        <v>lun</v>
      </c>
      <c r="I6" s="314" t="str">
        <f t="shared" si="0"/>
        <v>mar</v>
      </c>
      <c r="J6" s="314" t="str">
        <f t="shared" si="0"/>
        <v>mié</v>
      </c>
      <c r="K6" s="314" t="str">
        <f t="shared" si="0"/>
        <v>jue</v>
      </c>
      <c r="L6" s="314" t="str">
        <f t="shared" si="0"/>
        <v>vie</v>
      </c>
      <c r="M6" s="314" t="str">
        <f t="shared" si="0"/>
        <v>sáb</v>
      </c>
      <c r="N6" s="314" t="str">
        <f t="shared" si="0"/>
        <v>dom</v>
      </c>
      <c r="O6" s="314" t="str">
        <f t="shared" si="0"/>
        <v>lun</v>
      </c>
      <c r="P6" s="314" t="str">
        <f t="shared" si="0"/>
        <v>mar</v>
      </c>
      <c r="Q6" s="314" t="str">
        <f t="shared" si="0"/>
        <v>mié</v>
      </c>
      <c r="R6" s="314" t="str">
        <f t="shared" si="0"/>
        <v>jue</v>
      </c>
      <c r="S6" s="314" t="str">
        <f t="shared" si="0"/>
        <v>vie</v>
      </c>
      <c r="T6" s="314" t="str">
        <f t="shared" si="0"/>
        <v>sáb</v>
      </c>
      <c r="U6" s="314" t="str">
        <f t="shared" si="0"/>
        <v>dom</v>
      </c>
      <c r="V6" s="314" t="str">
        <f t="shared" si="0"/>
        <v>lun</v>
      </c>
      <c r="W6" s="314" t="str">
        <f t="shared" si="0"/>
        <v>mar</v>
      </c>
      <c r="X6" s="314" t="str">
        <f t="shared" si="0"/>
        <v>mié</v>
      </c>
      <c r="Y6" s="314" t="str">
        <f t="shared" si="0"/>
        <v>jue</v>
      </c>
      <c r="Z6" s="314" t="str">
        <f t="shared" si="0"/>
        <v>vie</v>
      </c>
      <c r="AA6" s="314" t="str">
        <f t="shared" si="0"/>
        <v>sáb</v>
      </c>
      <c r="AB6" s="314" t="str">
        <f t="shared" si="0"/>
        <v>dom</v>
      </c>
      <c r="AC6" s="314" t="str">
        <f t="shared" si="0"/>
        <v>lun</v>
      </c>
      <c r="AD6" s="314" t="str">
        <f t="shared" si="0"/>
        <v>mar</v>
      </c>
      <c r="AE6" s="314" t="str">
        <f t="shared" si="0"/>
        <v>mié</v>
      </c>
      <c r="AF6" s="314" t="str">
        <f t="shared" si="0"/>
        <v>jue</v>
      </c>
      <c r="AG6" s="314" t="str">
        <f t="shared" si="0"/>
        <v>vie</v>
      </c>
      <c r="AH6" s="314" t="str">
        <f t="shared" si="0"/>
        <v>sáb</v>
      </c>
      <c r="AI6" s="314" t="str">
        <f t="shared" si="0"/>
        <v>dom</v>
      </c>
      <c r="AJ6" s="338" t="str">
        <f t="shared" si="0"/>
        <v>lun</v>
      </c>
      <c r="AK6" s="182"/>
      <c r="AL6" s="302"/>
    </row>
    <row r="7" spans="2:40" ht="15" customHeight="1" x14ac:dyDescent="0.25">
      <c r="B7" s="328"/>
      <c r="C7" s="329"/>
      <c r="D7" s="329"/>
      <c r="E7" s="331"/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315"/>
      <c r="W7" s="315"/>
      <c r="X7" s="315"/>
      <c r="Y7" s="315"/>
      <c r="Z7" s="315"/>
      <c r="AA7" s="315"/>
      <c r="AB7" s="315"/>
      <c r="AC7" s="315"/>
      <c r="AD7" s="315"/>
      <c r="AE7" s="315"/>
      <c r="AF7" s="315"/>
      <c r="AG7" s="315"/>
      <c r="AH7" s="315"/>
      <c r="AI7" s="315"/>
      <c r="AJ7" s="339"/>
      <c r="AK7" s="182"/>
      <c r="AL7" s="302"/>
    </row>
    <row r="8" spans="2:40" ht="22.5" customHeight="1" thickBot="1" x14ac:dyDescent="0.3">
      <c r="B8" s="311" t="s">
        <v>1</v>
      </c>
      <c r="C8" s="312"/>
      <c r="D8" s="312"/>
      <c r="E8" s="313"/>
      <c r="F8" s="181">
        <f>DATE(E6,_xlfn.IFS(B6="ENERO",1,B6="FEBRERO",2,B6="MARZO",3,B6="ABRIL",4,B6="MAYO",5,B6="JUNIO",6,B6="JULIO",7,B6="AGOSTO",8,B6="SEPTIEMBRE",9,B6="OCTUBRE",10,B6="NOVIEMBRE",11,B6="DICIEMBRE",12),1)</f>
        <v>44044</v>
      </c>
      <c r="G8" s="181">
        <f>F8+1</f>
        <v>44045</v>
      </c>
      <c r="H8" s="181">
        <f t="shared" ref="H8:AK8" si="1">G8+1</f>
        <v>44046</v>
      </c>
      <c r="I8" s="181">
        <f t="shared" si="1"/>
        <v>44047</v>
      </c>
      <c r="J8" s="181">
        <f t="shared" si="1"/>
        <v>44048</v>
      </c>
      <c r="K8" s="181">
        <f t="shared" si="1"/>
        <v>44049</v>
      </c>
      <c r="L8" s="181">
        <f t="shared" si="1"/>
        <v>44050</v>
      </c>
      <c r="M8" s="181">
        <f t="shared" si="1"/>
        <v>44051</v>
      </c>
      <c r="N8" s="181">
        <f t="shared" si="1"/>
        <v>44052</v>
      </c>
      <c r="O8" s="181">
        <f t="shared" si="1"/>
        <v>44053</v>
      </c>
      <c r="P8" s="181">
        <f t="shared" si="1"/>
        <v>44054</v>
      </c>
      <c r="Q8" s="181">
        <f t="shared" si="1"/>
        <v>44055</v>
      </c>
      <c r="R8" s="181">
        <f t="shared" si="1"/>
        <v>44056</v>
      </c>
      <c r="S8" s="181">
        <f t="shared" si="1"/>
        <v>44057</v>
      </c>
      <c r="T8" s="181">
        <f t="shared" si="1"/>
        <v>44058</v>
      </c>
      <c r="U8" s="181">
        <f t="shared" si="1"/>
        <v>44059</v>
      </c>
      <c r="V8" s="181">
        <f t="shared" si="1"/>
        <v>44060</v>
      </c>
      <c r="W8" s="181">
        <f t="shared" si="1"/>
        <v>44061</v>
      </c>
      <c r="X8" s="181">
        <f t="shared" si="1"/>
        <v>44062</v>
      </c>
      <c r="Y8" s="181">
        <f t="shared" si="1"/>
        <v>44063</v>
      </c>
      <c r="Z8" s="181">
        <f t="shared" si="1"/>
        <v>44064</v>
      </c>
      <c r="AA8" s="181">
        <f t="shared" si="1"/>
        <v>44065</v>
      </c>
      <c r="AB8" s="181">
        <f t="shared" si="1"/>
        <v>44066</v>
      </c>
      <c r="AC8" s="181">
        <f t="shared" si="1"/>
        <v>44067</v>
      </c>
      <c r="AD8" s="181">
        <f t="shared" si="1"/>
        <v>44068</v>
      </c>
      <c r="AE8" s="181">
        <f t="shared" si="1"/>
        <v>44069</v>
      </c>
      <c r="AF8" s="181">
        <f t="shared" si="1"/>
        <v>44070</v>
      </c>
      <c r="AG8" s="181">
        <f t="shared" si="1"/>
        <v>44071</v>
      </c>
      <c r="AH8" s="181">
        <f t="shared" si="1"/>
        <v>44072</v>
      </c>
      <c r="AI8" s="181">
        <f t="shared" si="1"/>
        <v>44073</v>
      </c>
      <c r="AJ8" s="183">
        <f t="shared" si="1"/>
        <v>44074</v>
      </c>
      <c r="AK8" s="184">
        <f t="shared" si="1"/>
        <v>44075</v>
      </c>
      <c r="AL8" s="302"/>
      <c r="AM8" t="s">
        <v>1</v>
      </c>
    </row>
    <row r="9" spans="2:40" ht="21.95" customHeight="1" x14ac:dyDescent="0.25">
      <c r="B9" s="318" t="s">
        <v>181</v>
      </c>
      <c r="C9" s="319"/>
      <c r="D9" s="316" t="s">
        <v>180</v>
      </c>
      <c r="E9" s="317"/>
      <c r="F9" s="150"/>
      <c r="G9" s="151"/>
      <c r="H9" s="151"/>
      <c r="I9" s="151"/>
      <c r="J9" s="151"/>
      <c r="K9" s="151" t="s">
        <v>85</v>
      </c>
      <c r="L9" s="151"/>
      <c r="M9" s="151" t="s">
        <v>85</v>
      </c>
      <c r="N9" s="151" t="s">
        <v>85</v>
      </c>
      <c r="O9" s="151"/>
      <c r="P9" s="151"/>
      <c r="Q9" s="151"/>
      <c r="R9" s="151"/>
      <c r="S9" s="151"/>
      <c r="T9" s="151"/>
      <c r="U9" s="151" t="s">
        <v>85</v>
      </c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42"/>
      <c r="AK9" s="23"/>
      <c r="AM9" t="s">
        <v>181</v>
      </c>
      <c r="AN9" t="s">
        <v>89</v>
      </c>
    </row>
    <row r="10" spans="2:40" ht="21.95" customHeight="1" x14ac:dyDescent="0.25">
      <c r="B10" s="303" t="s">
        <v>290</v>
      </c>
      <c r="C10" s="304"/>
      <c r="D10" s="305" t="s">
        <v>289</v>
      </c>
      <c r="E10" s="306"/>
      <c r="F10" s="146"/>
      <c r="G10" s="147"/>
      <c r="H10" s="147"/>
      <c r="I10" s="147"/>
      <c r="J10" s="147"/>
      <c r="K10" s="147"/>
      <c r="L10" s="147"/>
      <c r="M10" s="147" t="s">
        <v>272</v>
      </c>
      <c r="N10" s="147"/>
      <c r="O10" s="147"/>
      <c r="P10" s="147"/>
      <c r="Q10" s="147"/>
      <c r="R10" s="147"/>
      <c r="S10" s="147"/>
      <c r="T10" s="147" t="s">
        <v>272</v>
      </c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43"/>
      <c r="AK10" s="18"/>
      <c r="AM10" t="s">
        <v>290</v>
      </c>
      <c r="AN10" t="s">
        <v>69</v>
      </c>
    </row>
    <row r="11" spans="2:40" ht="21.95" customHeight="1" x14ac:dyDescent="0.25">
      <c r="B11" s="303"/>
      <c r="C11" s="304"/>
      <c r="D11" s="305"/>
      <c r="E11" s="306"/>
      <c r="F11" s="146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43"/>
      <c r="AK11" s="18"/>
      <c r="AN11" t="s">
        <v>92</v>
      </c>
    </row>
    <row r="12" spans="2:40" ht="21.95" customHeight="1" x14ac:dyDescent="0.25">
      <c r="B12" s="303"/>
      <c r="C12" s="304"/>
      <c r="D12" s="305"/>
      <c r="E12" s="306"/>
      <c r="F12" s="146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43"/>
      <c r="AK12" s="18"/>
      <c r="AN12" t="s">
        <v>92</v>
      </c>
    </row>
    <row r="13" spans="2:40" ht="21.95" customHeight="1" x14ac:dyDescent="0.25">
      <c r="B13" s="303"/>
      <c r="C13" s="304"/>
      <c r="D13" s="305"/>
      <c r="E13" s="306"/>
      <c r="F13" s="146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78"/>
      <c r="AI13" s="178"/>
      <c r="AJ13" s="43"/>
      <c r="AK13" s="18"/>
      <c r="AN13" t="s">
        <v>92</v>
      </c>
    </row>
    <row r="14" spans="2:40" ht="21.95" customHeight="1" x14ac:dyDescent="0.25">
      <c r="B14" s="303"/>
      <c r="C14" s="304"/>
      <c r="D14" s="305"/>
      <c r="E14" s="306"/>
      <c r="F14" s="146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78"/>
      <c r="AI14" s="178"/>
      <c r="AJ14" s="43"/>
      <c r="AK14" s="18"/>
      <c r="AN14" t="s">
        <v>92</v>
      </c>
    </row>
    <row r="15" spans="2:40" ht="21.95" customHeight="1" x14ac:dyDescent="0.25">
      <c r="B15" s="303"/>
      <c r="C15" s="304"/>
      <c r="D15" s="305"/>
      <c r="E15" s="306"/>
      <c r="F15" s="146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43"/>
      <c r="AK15" s="18"/>
      <c r="AN15" t="s">
        <v>92</v>
      </c>
    </row>
    <row r="16" spans="2:40" ht="21.95" customHeight="1" x14ac:dyDescent="0.25">
      <c r="B16" s="303"/>
      <c r="C16" s="304"/>
      <c r="D16" s="305"/>
      <c r="E16" s="306"/>
      <c r="F16" s="146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43"/>
      <c r="AK16" s="18"/>
      <c r="AN16" t="s">
        <v>92</v>
      </c>
    </row>
    <row r="17" spans="2:40" ht="21.95" customHeight="1" x14ac:dyDescent="0.25">
      <c r="B17" s="303"/>
      <c r="C17" s="304"/>
      <c r="D17" s="305"/>
      <c r="E17" s="306"/>
      <c r="F17" s="146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43"/>
      <c r="AK17" s="18"/>
      <c r="AN17" t="s">
        <v>92</v>
      </c>
    </row>
    <row r="18" spans="2:40" ht="21.95" customHeight="1" x14ac:dyDescent="0.25">
      <c r="B18" s="303"/>
      <c r="C18" s="304"/>
      <c r="D18" s="305"/>
      <c r="E18" s="306"/>
      <c r="F18" s="146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43"/>
      <c r="AK18" s="18"/>
      <c r="AN18" t="s">
        <v>92</v>
      </c>
    </row>
    <row r="19" spans="2:40" ht="21.95" customHeight="1" x14ac:dyDescent="0.25">
      <c r="B19" s="303"/>
      <c r="C19" s="304"/>
      <c r="D19" s="305"/>
      <c r="E19" s="306"/>
      <c r="F19" s="146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43"/>
      <c r="AK19" s="18"/>
      <c r="AN19" t="s">
        <v>86</v>
      </c>
    </row>
    <row r="20" spans="2:40" ht="21.95" customHeight="1" x14ac:dyDescent="0.25">
      <c r="B20" s="303"/>
      <c r="C20" s="304"/>
      <c r="D20" s="305"/>
      <c r="E20" s="306"/>
      <c r="F20" s="146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43"/>
      <c r="AK20" s="18"/>
      <c r="AN20" t="s">
        <v>89</v>
      </c>
    </row>
    <row r="21" spans="2:40" ht="21.95" customHeight="1" x14ac:dyDescent="0.25">
      <c r="B21" s="303"/>
      <c r="C21" s="304"/>
      <c r="D21" s="305"/>
      <c r="E21" s="306"/>
      <c r="F21" s="146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43"/>
      <c r="AK21" s="18"/>
      <c r="AN21" t="s">
        <v>89</v>
      </c>
    </row>
    <row r="22" spans="2:40" ht="21.95" customHeight="1" x14ac:dyDescent="0.25">
      <c r="B22" s="303"/>
      <c r="C22" s="304"/>
      <c r="D22" s="305"/>
      <c r="E22" s="306"/>
      <c r="F22" s="146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43"/>
      <c r="AK22" s="18"/>
      <c r="AN22" t="s">
        <v>89</v>
      </c>
    </row>
    <row r="23" spans="2:40" ht="21.95" customHeight="1" x14ac:dyDescent="0.25">
      <c r="B23" s="303"/>
      <c r="C23" s="304"/>
      <c r="D23" s="305"/>
      <c r="E23" s="306"/>
      <c r="F23" s="146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43"/>
      <c r="AK23" s="18"/>
      <c r="AN23" t="s">
        <v>78</v>
      </c>
    </row>
    <row r="24" spans="2:40" ht="21.95" customHeight="1" x14ac:dyDescent="0.25">
      <c r="B24" s="303"/>
      <c r="C24" s="304"/>
      <c r="D24" s="305"/>
      <c r="E24" s="306"/>
      <c r="F24" s="146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43"/>
      <c r="AK24" s="18"/>
      <c r="AN24" t="s">
        <v>78</v>
      </c>
    </row>
    <row r="25" spans="2:40" ht="21.95" customHeight="1" x14ac:dyDescent="0.25">
      <c r="B25" s="303"/>
      <c r="C25" s="304"/>
      <c r="D25" s="305"/>
      <c r="E25" s="306"/>
      <c r="F25" s="146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43"/>
      <c r="AK25" s="18"/>
    </row>
    <row r="26" spans="2:40" ht="21.95" customHeight="1" x14ac:dyDescent="0.25">
      <c r="B26" s="303"/>
      <c r="C26" s="304"/>
      <c r="D26" s="305"/>
      <c r="E26" s="306"/>
      <c r="F26" s="146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43"/>
      <c r="AK26" s="18"/>
    </row>
    <row r="27" spans="2:40" ht="21.95" customHeight="1" x14ac:dyDescent="0.25">
      <c r="B27" s="303"/>
      <c r="C27" s="304"/>
      <c r="D27" s="305"/>
      <c r="E27" s="306"/>
      <c r="F27" s="146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43"/>
      <c r="AK27" s="18"/>
    </row>
    <row r="28" spans="2:40" ht="21.95" customHeight="1" x14ac:dyDescent="0.25">
      <c r="B28" s="303"/>
      <c r="C28" s="304"/>
      <c r="D28" s="305"/>
      <c r="E28" s="306"/>
      <c r="F28" s="146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43"/>
      <c r="AK28" s="18"/>
    </row>
    <row r="29" spans="2:40" ht="21.95" customHeight="1" x14ac:dyDescent="0.25">
      <c r="B29" s="303"/>
      <c r="C29" s="304"/>
      <c r="D29" s="305" t="str">
        <f>IF(B29="","",VLOOKUP(B29,'BD Personal'!#REF!,2,FALSE))</f>
        <v/>
      </c>
      <c r="E29" s="306"/>
      <c r="F29" s="146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43"/>
      <c r="AK29" s="18"/>
    </row>
    <row r="30" spans="2:40" ht="21.95" customHeight="1" x14ac:dyDescent="0.25">
      <c r="B30" s="303"/>
      <c r="C30" s="304"/>
      <c r="D30" s="305" t="str">
        <f>IF(B30="","",VLOOKUP(B30,'BD Personal'!#REF!,2,FALSE))</f>
        <v/>
      </c>
      <c r="E30" s="306"/>
      <c r="F30" s="146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43"/>
      <c r="AK30" s="18"/>
    </row>
    <row r="31" spans="2:40" ht="21.95" customHeight="1" x14ac:dyDescent="0.25">
      <c r="B31" s="303"/>
      <c r="C31" s="304"/>
      <c r="D31" s="305" t="str">
        <f>IF(B31="","",VLOOKUP(B31,'BD Personal'!#REF!,2,FALSE))</f>
        <v/>
      </c>
      <c r="E31" s="306"/>
      <c r="F31" s="146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43"/>
      <c r="AK31" s="18"/>
    </row>
    <row r="32" spans="2:40" ht="21.95" customHeight="1" x14ac:dyDescent="0.25">
      <c r="B32" s="303"/>
      <c r="C32" s="304"/>
      <c r="D32" s="305" t="str">
        <f>IF(B32="","",VLOOKUP(B32,'BD Personal'!#REF!,2,FALSE))</f>
        <v/>
      </c>
      <c r="E32" s="306"/>
      <c r="F32" s="146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43"/>
      <c r="AK32" s="18"/>
    </row>
    <row r="33" spans="2:37" ht="21.95" customHeight="1" x14ac:dyDescent="0.25">
      <c r="B33" s="303"/>
      <c r="C33" s="304"/>
      <c r="D33" s="305" t="str">
        <f>IF(B33="","",VLOOKUP(B33,'BD Personal'!#REF!,2,FALSE))</f>
        <v/>
      </c>
      <c r="E33" s="306"/>
      <c r="F33" s="146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43"/>
      <c r="AK33" s="18"/>
    </row>
    <row r="34" spans="2:37" ht="21.95" customHeight="1" x14ac:dyDescent="0.25">
      <c r="B34" s="303"/>
      <c r="C34" s="304"/>
      <c r="D34" s="305" t="str">
        <f>IF(B34="","",VLOOKUP(B34,'BD Personal'!#REF!,2,FALSE))</f>
        <v/>
      </c>
      <c r="E34" s="306"/>
      <c r="F34" s="146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43"/>
      <c r="AK34" s="18"/>
    </row>
    <row r="35" spans="2:37" ht="21.95" customHeight="1" x14ac:dyDescent="0.25">
      <c r="B35" s="303"/>
      <c r="C35" s="304"/>
      <c r="D35" s="305" t="str">
        <f>IF(B35="","",VLOOKUP(B35,'BD Personal'!#REF!,2,FALSE))</f>
        <v/>
      </c>
      <c r="E35" s="306"/>
      <c r="F35" s="146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43"/>
      <c r="AK35" s="18"/>
    </row>
    <row r="36" spans="2:37" ht="21.95" customHeight="1" x14ac:dyDescent="0.25">
      <c r="B36" s="303"/>
      <c r="C36" s="304"/>
      <c r="D36" s="305" t="str">
        <f>IF(B36="","",VLOOKUP(B36,'BD Personal'!#REF!,2,FALSE))</f>
        <v/>
      </c>
      <c r="E36" s="306"/>
      <c r="F36" s="146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43"/>
      <c r="AK36" s="18"/>
    </row>
    <row r="37" spans="2:37" ht="21.95" customHeight="1" x14ac:dyDescent="0.25">
      <c r="B37" s="303"/>
      <c r="C37" s="304"/>
      <c r="D37" s="305" t="str">
        <f>IF(B37="","",VLOOKUP(B37,'BD Personal'!#REF!,2,FALSE))</f>
        <v/>
      </c>
      <c r="E37" s="306"/>
      <c r="F37" s="146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43"/>
      <c r="AK37" s="18"/>
    </row>
    <row r="38" spans="2:37" ht="21.95" customHeight="1" x14ac:dyDescent="0.25">
      <c r="B38" s="303"/>
      <c r="C38" s="304"/>
      <c r="D38" s="305" t="str">
        <f>IF(B38="","",VLOOKUP(B38,'BD Personal'!#REF!,2,FALSE))</f>
        <v/>
      </c>
      <c r="E38" s="306"/>
      <c r="F38" s="146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43"/>
      <c r="AK38" s="18"/>
    </row>
    <row r="39" spans="2:37" ht="21.95" customHeight="1" x14ac:dyDescent="0.25">
      <c r="B39" s="303"/>
      <c r="C39" s="304"/>
      <c r="D39" s="305" t="str">
        <f>IF(B39="","",VLOOKUP(B39,'BD Personal'!#REF!,2,FALSE))</f>
        <v/>
      </c>
      <c r="E39" s="306"/>
      <c r="F39" s="146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43"/>
      <c r="AK39" s="18"/>
    </row>
    <row r="40" spans="2:37" ht="21.95" customHeight="1" x14ac:dyDescent="0.25">
      <c r="B40" s="303"/>
      <c r="C40" s="304"/>
      <c r="D40" s="305" t="str">
        <f>IF(B40="","",VLOOKUP(B40,'BD Personal'!#REF!,2,FALSE))</f>
        <v/>
      </c>
      <c r="E40" s="306"/>
      <c r="F40" s="146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43"/>
      <c r="AK40" s="18"/>
    </row>
    <row r="41" spans="2:37" ht="21.95" customHeight="1" x14ac:dyDescent="0.25">
      <c r="B41" s="303"/>
      <c r="C41" s="304"/>
      <c r="D41" s="305" t="str">
        <f>IF(B41="","",VLOOKUP(B41,'BD Personal'!#REF!,2,FALSE))</f>
        <v/>
      </c>
      <c r="E41" s="306"/>
      <c r="F41" s="146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43"/>
      <c r="AK41" s="18"/>
    </row>
    <row r="42" spans="2:37" ht="21.95" customHeight="1" x14ac:dyDescent="0.25">
      <c r="B42" s="303"/>
      <c r="C42" s="304"/>
      <c r="D42" s="305" t="str">
        <f>IF(B42="","",VLOOKUP(B42,'BD Personal'!#REF!,2,FALSE))</f>
        <v/>
      </c>
      <c r="E42" s="306"/>
      <c r="F42" s="146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43"/>
      <c r="AK42" s="18"/>
    </row>
    <row r="43" spans="2:37" ht="21.95" customHeight="1" x14ac:dyDescent="0.25">
      <c r="B43" s="303"/>
      <c r="C43" s="304"/>
      <c r="D43" s="305" t="str">
        <f>IF(B43="","",VLOOKUP(B43,'BD Personal'!#REF!,2,FALSE))</f>
        <v/>
      </c>
      <c r="E43" s="306"/>
      <c r="F43" s="146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43"/>
      <c r="AK43" s="18"/>
    </row>
    <row r="44" spans="2:37" ht="21.95" customHeight="1" x14ac:dyDescent="0.25">
      <c r="B44" s="303"/>
      <c r="C44" s="304"/>
      <c r="D44" s="305" t="str">
        <f>IF(B44="","",VLOOKUP(B44,'BD Personal'!#REF!,2,FALSE))</f>
        <v/>
      </c>
      <c r="E44" s="306"/>
      <c r="F44" s="146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43"/>
      <c r="AK44" s="18"/>
    </row>
    <row r="45" spans="2:37" ht="21.95" customHeight="1" x14ac:dyDescent="0.25">
      <c r="B45" s="303"/>
      <c r="C45" s="304"/>
      <c r="D45" s="305" t="str">
        <f>IF(B45="","",VLOOKUP(B45,'BD Personal'!#REF!,2,FALSE))</f>
        <v/>
      </c>
      <c r="E45" s="306"/>
      <c r="F45" s="146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43"/>
      <c r="AK45" s="18"/>
    </row>
    <row r="46" spans="2:37" ht="21.95" customHeight="1" x14ac:dyDescent="0.25">
      <c r="B46" s="303"/>
      <c r="C46" s="304"/>
      <c r="D46" s="305" t="str">
        <f>IF(B46="","",VLOOKUP(B46,'BD Personal'!#REF!,2,FALSE))</f>
        <v/>
      </c>
      <c r="E46" s="306"/>
      <c r="F46" s="146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43"/>
      <c r="AK46" s="18"/>
    </row>
    <row r="47" spans="2:37" ht="21.95" customHeight="1" x14ac:dyDescent="0.25">
      <c r="B47" s="303"/>
      <c r="C47" s="304"/>
      <c r="D47" s="305" t="str">
        <f>IF(B47="","",VLOOKUP(B47,'BD Personal'!#REF!,2,FALSE))</f>
        <v/>
      </c>
      <c r="E47" s="306"/>
      <c r="F47" s="146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43"/>
      <c r="AK47" s="18"/>
    </row>
    <row r="48" spans="2:37" ht="21.95" customHeight="1" x14ac:dyDescent="0.25">
      <c r="B48" s="303"/>
      <c r="C48" s="304"/>
      <c r="D48" s="305" t="str">
        <f>IF(B48="","",VLOOKUP(B48,'BD Personal'!#REF!,2,FALSE))</f>
        <v/>
      </c>
      <c r="E48" s="306"/>
      <c r="F48" s="146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43"/>
      <c r="AK48" s="18"/>
    </row>
    <row r="49" spans="2:37" ht="21.95" customHeight="1" x14ac:dyDescent="0.25">
      <c r="B49" s="303"/>
      <c r="C49" s="304"/>
      <c r="D49" s="305" t="str">
        <f>IF(B49="","",VLOOKUP(B49,'BD Personal'!#REF!,2,FALSE))</f>
        <v/>
      </c>
      <c r="E49" s="306"/>
      <c r="F49" s="146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43"/>
      <c r="AK49" s="18"/>
    </row>
    <row r="50" spans="2:37" ht="21.95" customHeight="1" thickBot="1" x14ac:dyDescent="0.3">
      <c r="B50" s="307"/>
      <c r="C50" s="308"/>
      <c r="D50" s="309" t="str">
        <f>IF(B50="","",VLOOKUP(B50,'BD Personal'!#REF!,2,FALSE))</f>
        <v/>
      </c>
      <c r="E50" s="310"/>
      <c r="F50" s="148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  <c r="AG50" s="149"/>
      <c r="AH50" s="149"/>
      <c r="AI50" s="149"/>
      <c r="AJ50" s="44"/>
      <c r="AK50" s="19"/>
    </row>
    <row r="51" spans="2:37" x14ac:dyDescent="0.25"/>
    <row r="52" spans="2:37" x14ac:dyDescent="0.25"/>
  </sheetData>
  <sheetProtection algorithmName="SHA-512" hashValue="7Ixzlhf09+wKYo2TX05AjXXYKDHnmoE1zwgPGTf20B2EW2CJpL8Tj8kaOHwz9sACmJ0LBYQQmKh9bMrfVLL96Q==" saltValue="gyq2pnoH1bzOwI4AXGcNDQ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45" priority="58">
      <formula>WEEKDAY(F8,2)=7</formula>
    </cfRule>
  </conditionalFormatting>
  <conditionalFormatting sqref="G8:AK8">
    <cfRule type="expression" dxfId="44" priority="54">
      <formula>WEEKDAY(G8,2)=7</formula>
    </cfRule>
  </conditionalFormatting>
  <conditionalFormatting sqref="F6:F7">
    <cfRule type="expression" dxfId="43" priority="53">
      <formula>WEEKDAY(F8,2)=7</formula>
    </cfRule>
  </conditionalFormatting>
  <conditionalFormatting sqref="G6:AJ7">
    <cfRule type="expression" dxfId="42" priority="51">
      <formula>WEEKDAY(G8,2)=7</formula>
    </cfRule>
  </conditionalFormatting>
  <conditionalFormatting sqref="F9:AJ50">
    <cfRule type="cellIs" dxfId="41" priority="1" operator="equal">
      <formula>"IM"</formula>
    </cfRule>
    <cfRule type="cellIs" dxfId="40" priority="2" operator="equal">
      <formula>"V"</formula>
    </cfRule>
    <cfRule type="cellIs" dxfId="39" priority="3" operator="equal">
      <formula>"DE"</formula>
    </cfRule>
    <cfRule type="cellIs" dxfId="38" priority="4" operator="equal">
      <formula>"T2"</formula>
    </cfRule>
    <cfRule type="cellIs" dxfId="37" priority="5" operator="equal">
      <formula>"T3"</formula>
    </cfRule>
    <cfRule type="cellIs" dxfId="36" priority="6" operator="equal">
      <formula>"T1"</formula>
    </cfRule>
    <cfRule type="cellIs" dxfId="35" priority="8" operator="equal">
      <formula>"N"</formula>
    </cfRule>
    <cfRule type="cellIs" dxfId="34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60"/>
  <sheetViews>
    <sheetView showGridLines="0" workbookViewId="0">
      <selection activeCell="A33" sqref="A33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41"/>
      <c r="E1" s="341"/>
      <c r="F1" s="340" t="s">
        <v>68</v>
      </c>
      <c r="G1" s="340"/>
      <c r="H1" s="340"/>
      <c r="I1" s="340"/>
      <c r="J1" s="340"/>
      <c r="K1" s="340"/>
      <c r="L1" s="340"/>
      <c r="M1" s="340"/>
      <c r="N1" s="340"/>
      <c r="O1" s="340"/>
      <c r="P1" s="340"/>
      <c r="Q1" s="340"/>
      <c r="R1" s="340"/>
    </row>
    <row r="2" spans="1:18" ht="15" customHeight="1" x14ac:dyDescent="0.25">
      <c r="A2" s="24"/>
      <c r="B2" s="24"/>
      <c r="C2" s="24"/>
      <c r="D2" s="341"/>
      <c r="E2" s="341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ht="15" customHeight="1" x14ac:dyDescent="0.25">
      <c r="A3" s="24"/>
      <c r="B3" s="24"/>
      <c r="C3" s="24"/>
      <c r="D3" s="341"/>
      <c r="E3" s="341"/>
      <c r="F3" s="340"/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40"/>
      <c r="R3" s="340"/>
    </row>
    <row r="4" spans="1:18" ht="26.25" customHeight="1" x14ac:dyDescent="0.25">
      <c r="A4" s="24"/>
      <c r="B4" s="24"/>
      <c r="C4" s="24"/>
      <c r="D4" s="341"/>
      <c r="E4" s="341"/>
      <c r="F4" s="340"/>
      <c r="G4" s="34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7704176</v>
      </c>
      <c r="B6" s="142" t="s">
        <v>72</v>
      </c>
      <c r="C6" s="143" t="s">
        <v>180</v>
      </c>
      <c r="D6" s="143" t="s">
        <v>181</v>
      </c>
      <c r="E6" s="143" t="s">
        <v>182</v>
      </c>
      <c r="F6" s="143" t="s">
        <v>182</v>
      </c>
      <c r="G6" s="143">
        <v>3507723348</v>
      </c>
      <c r="H6" s="144" t="s">
        <v>287</v>
      </c>
      <c r="I6" s="143" t="s">
        <v>184</v>
      </c>
      <c r="J6" s="144" t="s">
        <v>183</v>
      </c>
      <c r="K6" s="143" t="s">
        <v>179</v>
      </c>
      <c r="L6" s="171">
        <v>2785860</v>
      </c>
      <c r="M6" s="145" t="s">
        <v>60</v>
      </c>
      <c r="N6" s="145" t="s">
        <v>126</v>
      </c>
      <c r="O6" s="145" t="s">
        <v>59</v>
      </c>
      <c r="P6" s="145" t="s">
        <v>89</v>
      </c>
      <c r="Q6" s="145">
        <v>34</v>
      </c>
      <c r="R6" s="145">
        <v>3</v>
      </c>
    </row>
    <row r="7" spans="1:18" x14ac:dyDescent="0.25">
      <c r="A7" s="142">
        <v>72278259</v>
      </c>
      <c r="B7" s="142" t="s">
        <v>72</v>
      </c>
      <c r="C7" s="143" t="s">
        <v>185</v>
      </c>
      <c r="D7" s="143" t="s">
        <v>186</v>
      </c>
      <c r="E7" s="143" t="s">
        <v>182</v>
      </c>
      <c r="F7" s="143" t="s">
        <v>182</v>
      </c>
      <c r="G7" s="143" t="s">
        <v>187</v>
      </c>
      <c r="H7" s="144" t="s">
        <v>188</v>
      </c>
      <c r="I7" s="143" t="s">
        <v>189</v>
      </c>
      <c r="J7" s="144" t="s">
        <v>188</v>
      </c>
      <c r="K7" s="143" t="s">
        <v>179</v>
      </c>
      <c r="L7" s="170">
        <v>2785860</v>
      </c>
      <c r="M7" s="145" t="s">
        <v>60</v>
      </c>
      <c r="N7" s="145" t="s">
        <v>126</v>
      </c>
      <c r="O7" s="145" t="s">
        <v>59</v>
      </c>
      <c r="P7" s="145" t="s">
        <v>89</v>
      </c>
      <c r="Q7" s="145">
        <v>34</v>
      </c>
      <c r="R7" s="145">
        <v>3</v>
      </c>
    </row>
    <row r="8" spans="1:18" x14ac:dyDescent="0.25">
      <c r="A8" s="142">
        <v>92541750</v>
      </c>
      <c r="B8" s="142" t="s">
        <v>72</v>
      </c>
      <c r="C8" s="143" t="s">
        <v>190</v>
      </c>
      <c r="D8" s="143" t="s">
        <v>191</v>
      </c>
      <c r="E8" s="143" t="s">
        <v>192</v>
      </c>
      <c r="F8" s="143" t="s">
        <v>193</v>
      </c>
      <c r="G8" s="143">
        <v>3218067410</v>
      </c>
      <c r="H8" s="144" t="s">
        <v>194</v>
      </c>
      <c r="I8" s="143" t="s">
        <v>195</v>
      </c>
      <c r="J8" s="144">
        <v>43953</v>
      </c>
      <c r="K8" s="143" t="s">
        <v>179</v>
      </c>
      <c r="L8" s="170">
        <v>2785860</v>
      </c>
      <c r="M8" s="145" t="s">
        <v>60</v>
      </c>
      <c r="N8" s="145" t="s">
        <v>126</v>
      </c>
      <c r="O8" s="145" t="s">
        <v>59</v>
      </c>
      <c r="P8" s="145" t="s">
        <v>89</v>
      </c>
      <c r="Q8" s="145">
        <v>34</v>
      </c>
      <c r="R8" s="145">
        <v>3</v>
      </c>
    </row>
    <row r="9" spans="1:18" x14ac:dyDescent="0.25">
      <c r="A9" s="142">
        <v>10969477563</v>
      </c>
      <c r="B9" s="142" t="s">
        <v>72</v>
      </c>
      <c r="C9" s="143" t="s">
        <v>196</v>
      </c>
      <c r="D9" s="143" t="s">
        <v>197</v>
      </c>
      <c r="E9" s="143" t="s">
        <v>198</v>
      </c>
      <c r="F9" s="143" t="s">
        <v>199</v>
      </c>
      <c r="G9" s="143">
        <v>3112871092</v>
      </c>
      <c r="H9" s="144">
        <v>40490</v>
      </c>
      <c r="I9" s="143" t="s">
        <v>177</v>
      </c>
      <c r="J9" s="144">
        <v>43412</v>
      </c>
      <c r="K9" s="143" t="s">
        <v>179</v>
      </c>
      <c r="L9" s="170">
        <v>1960420</v>
      </c>
      <c r="M9" s="145" t="s">
        <v>60</v>
      </c>
      <c r="N9" s="145" t="s">
        <v>127</v>
      </c>
      <c r="O9" s="145" t="s">
        <v>59</v>
      </c>
      <c r="P9" s="145" t="s">
        <v>78</v>
      </c>
      <c r="Q9" s="145">
        <v>34</v>
      </c>
      <c r="R9" s="145">
        <v>2</v>
      </c>
    </row>
    <row r="10" spans="1:18" x14ac:dyDescent="0.25">
      <c r="A10" s="142">
        <v>1096947756</v>
      </c>
      <c r="B10" s="142" t="s">
        <v>73</v>
      </c>
      <c r="C10" s="143" t="s">
        <v>200</v>
      </c>
      <c r="D10" s="143" t="s">
        <v>201</v>
      </c>
      <c r="E10" s="143" t="s">
        <v>202</v>
      </c>
      <c r="F10" s="143" t="s">
        <v>203</v>
      </c>
      <c r="G10" s="143">
        <v>3164944397</v>
      </c>
      <c r="H10" s="144">
        <v>40188</v>
      </c>
      <c r="I10" s="143" t="s">
        <v>174</v>
      </c>
      <c r="J10" s="144">
        <v>42917</v>
      </c>
      <c r="K10" s="143" t="s">
        <v>179</v>
      </c>
      <c r="L10" s="170">
        <v>2785860</v>
      </c>
      <c r="M10" s="145" t="s">
        <v>60</v>
      </c>
      <c r="N10" s="145" t="s">
        <v>127</v>
      </c>
      <c r="O10" s="145" t="s">
        <v>59</v>
      </c>
      <c r="P10" s="145" t="s">
        <v>78</v>
      </c>
      <c r="Q10" s="145">
        <v>34</v>
      </c>
      <c r="R10" s="145">
        <v>2</v>
      </c>
    </row>
    <row r="11" spans="1:18" x14ac:dyDescent="0.25">
      <c r="A11" s="142">
        <v>1104870663</v>
      </c>
      <c r="B11" s="142" t="s">
        <v>72</v>
      </c>
      <c r="C11" s="143" t="s">
        <v>204</v>
      </c>
      <c r="D11" s="143" t="s">
        <v>205</v>
      </c>
      <c r="E11" s="143" t="s">
        <v>178</v>
      </c>
      <c r="F11" s="143" t="s">
        <v>178</v>
      </c>
      <c r="G11" s="143">
        <v>3175134567</v>
      </c>
      <c r="H11" s="144" t="s">
        <v>206</v>
      </c>
      <c r="I11" s="143">
        <v>9</v>
      </c>
      <c r="J11" s="144" t="s">
        <v>207</v>
      </c>
      <c r="K11" s="143" t="s">
        <v>179</v>
      </c>
      <c r="L11" s="170">
        <v>2785860</v>
      </c>
      <c r="M11" s="145" t="s">
        <v>60</v>
      </c>
      <c r="N11" s="145" t="s">
        <v>126</v>
      </c>
      <c r="O11" s="145" t="s">
        <v>59</v>
      </c>
      <c r="P11" s="145" t="s">
        <v>86</v>
      </c>
      <c r="Q11" s="145">
        <v>34</v>
      </c>
      <c r="R11" s="145">
        <v>1</v>
      </c>
    </row>
    <row r="12" spans="1:18" x14ac:dyDescent="0.25">
      <c r="A12" s="142">
        <v>73103591</v>
      </c>
      <c r="B12" s="142" t="s">
        <v>72</v>
      </c>
      <c r="C12" s="143" t="s">
        <v>208</v>
      </c>
      <c r="D12" s="143" t="s">
        <v>209</v>
      </c>
      <c r="E12" s="143" t="s">
        <v>178</v>
      </c>
      <c r="F12" s="143" t="s">
        <v>178</v>
      </c>
      <c r="G12" s="143">
        <v>3142633566</v>
      </c>
      <c r="H12" s="144">
        <v>23109</v>
      </c>
      <c r="I12" s="143">
        <v>9</v>
      </c>
      <c r="J12" s="144" t="s">
        <v>210</v>
      </c>
      <c r="K12" s="143" t="s">
        <v>165</v>
      </c>
      <c r="L12" s="171">
        <v>2785860</v>
      </c>
      <c r="M12" s="145" t="s">
        <v>60</v>
      </c>
      <c r="N12" s="145" t="s">
        <v>126</v>
      </c>
      <c r="O12" s="145" t="s">
        <v>59</v>
      </c>
      <c r="P12" s="145" t="s">
        <v>86</v>
      </c>
      <c r="Q12" s="145">
        <v>34</v>
      </c>
      <c r="R12" s="145">
        <v>1</v>
      </c>
    </row>
    <row r="13" spans="1:18" x14ac:dyDescent="0.25">
      <c r="A13" s="142">
        <v>92260904</v>
      </c>
      <c r="B13" s="142" t="s">
        <v>72</v>
      </c>
      <c r="C13" s="143" t="s">
        <v>211</v>
      </c>
      <c r="D13" s="143" t="s">
        <v>212</v>
      </c>
      <c r="E13" s="143" t="s">
        <v>178</v>
      </c>
      <c r="F13" s="143" t="s">
        <v>178</v>
      </c>
      <c r="G13" s="143">
        <v>1234567890</v>
      </c>
      <c r="H13" s="144" t="s">
        <v>213</v>
      </c>
      <c r="I13" s="143">
        <v>9</v>
      </c>
      <c r="J13" s="144">
        <v>42742</v>
      </c>
      <c r="K13" s="143" t="s">
        <v>160</v>
      </c>
      <c r="L13" s="170">
        <v>2218370</v>
      </c>
      <c r="M13" s="145" t="s">
        <v>60</v>
      </c>
      <c r="N13" s="145" t="s">
        <v>126</v>
      </c>
      <c r="O13" s="145" t="s">
        <v>59</v>
      </c>
      <c r="P13" s="145" t="s">
        <v>86</v>
      </c>
      <c r="Q13" s="145">
        <v>34</v>
      </c>
      <c r="R13" s="145">
        <v>1</v>
      </c>
    </row>
    <row r="14" spans="1:18" x14ac:dyDescent="0.25">
      <c r="A14" s="142">
        <v>14139039</v>
      </c>
      <c r="B14" s="142" t="s">
        <v>72</v>
      </c>
      <c r="C14" s="143" t="s">
        <v>214</v>
      </c>
      <c r="D14" s="143" t="s">
        <v>215</v>
      </c>
      <c r="E14" s="143" t="s">
        <v>178</v>
      </c>
      <c r="F14" s="143" t="s">
        <v>178</v>
      </c>
      <c r="G14" s="143">
        <v>3186418966</v>
      </c>
      <c r="H14" s="144" t="s">
        <v>216</v>
      </c>
      <c r="I14" s="143">
        <v>9</v>
      </c>
      <c r="J14" s="144" t="s">
        <v>217</v>
      </c>
      <c r="K14" s="143" t="s">
        <v>218</v>
      </c>
      <c r="L14" s="170">
        <v>2218370</v>
      </c>
      <c r="M14" s="145" t="s">
        <v>60</v>
      </c>
      <c r="N14" s="145" t="s">
        <v>126</v>
      </c>
      <c r="O14" s="145" t="s">
        <v>59</v>
      </c>
      <c r="P14" s="145" t="s">
        <v>86</v>
      </c>
      <c r="Q14" s="145">
        <v>34</v>
      </c>
      <c r="R14" s="145">
        <v>1</v>
      </c>
    </row>
    <row r="15" spans="1:18" x14ac:dyDescent="0.25">
      <c r="A15" s="142">
        <v>73158607</v>
      </c>
      <c r="B15" s="142" t="s">
        <v>72</v>
      </c>
      <c r="C15" s="143" t="s">
        <v>219</v>
      </c>
      <c r="D15" s="143" t="s">
        <v>220</v>
      </c>
      <c r="E15" s="143" t="s">
        <v>178</v>
      </c>
      <c r="F15" s="143" t="s">
        <v>178</v>
      </c>
      <c r="G15" s="143">
        <v>3187795884</v>
      </c>
      <c r="H15" s="144">
        <v>26551</v>
      </c>
      <c r="I15" s="143">
        <v>9</v>
      </c>
      <c r="J15" s="144">
        <v>42742</v>
      </c>
      <c r="K15" s="143" t="s">
        <v>218</v>
      </c>
      <c r="L15" s="170">
        <v>2218370</v>
      </c>
      <c r="M15" s="145" t="s">
        <v>60</v>
      </c>
      <c r="N15" s="145" t="s">
        <v>126</v>
      </c>
      <c r="O15" s="145" t="s">
        <v>59</v>
      </c>
      <c r="P15" s="145" t="s">
        <v>86</v>
      </c>
      <c r="Q15" s="145">
        <v>34</v>
      </c>
      <c r="R15" s="145">
        <v>1</v>
      </c>
    </row>
    <row r="16" spans="1:18" x14ac:dyDescent="0.25">
      <c r="A16" s="142">
        <v>71799240</v>
      </c>
      <c r="B16" s="142" t="s">
        <v>72</v>
      </c>
      <c r="C16" s="143" t="s">
        <v>221</v>
      </c>
      <c r="D16" s="143" t="s">
        <v>222</v>
      </c>
      <c r="E16" s="143" t="s">
        <v>178</v>
      </c>
      <c r="F16" s="143" t="s">
        <v>178</v>
      </c>
      <c r="G16" s="143">
        <v>1234567890</v>
      </c>
      <c r="H16" s="144">
        <v>29282</v>
      </c>
      <c r="I16" s="143">
        <v>9</v>
      </c>
      <c r="J16" s="144">
        <v>42927</v>
      </c>
      <c r="K16" s="143" t="s">
        <v>218</v>
      </c>
      <c r="L16" s="170">
        <v>2218370</v>
      </c>
      <c r="M16" s="145" t="s">
        <v>60</v>
      </c>
      <c r="N16" s="145" t="s">
        <v>126</v>
      </c>
      <c r="O16" s="145" t="s">
        <v>59</v>
      </c>
      <c r="P16" s="145" t="s">
        <v>86</v>
      </c>
      <c r="Q16" s="145">
        <v>34</v>
      </c>
      <c r="R16" s="145">
        <v>1</v>
      </c>
    </row>
    <row r="17" spans="1:18" x14ac:dyDescent="0.25">
      <c r="A17" s="142">
        <v>72209876</v>
      </c>
      <c r="B17" s="142" t="s">
        <v>72</v>
      </c>
      <c r="C17" s="143" t="s">
        <v>223</v>
      </c>
      <c r="D17" s="143" t="s">
        <v>224</v>
      </c>
      <c r="E17" s="143" t="s">
        <v>178</v>
      </c>
      <c r="F17" s="143" t="s">
        <v>178</v>
      </c>
      <c r="G17" s="143">
        <v>1234567890</v>
      </c>
      <c r="H17" s="144">
        <v>26735</v>
      </c>
      <c r="I17" s="143">
        <v>9</v>
      </c>
      <c r="J17" s="144">
        <v>43046</v>
      </c>
      <c r="K17" s="143" t="s">
        <v>218</v>
      </c>
      <c r="L17" s="170">
        <v>2218370</v>
      </c>
      <c r="M17" s="145" t="s">
        <v>60</v>
      </c>
      <c r="N17" s="145" t="s">
        <v>126</v>
      </c>
      <c r="O17" s="145" t="s">
        <v>59</v>
      </c>
      <c r="P17" s="145" t="s">
        <v>86</v>
      </c>
      <c r="Q17" s="145">
        <v>34</v>
      </c>
      <c r="R17" s="145">
        <v>1</v>
      </c>
    </row>
    <row r="18" spans="1:18" x14ac:dyDescent="0.25">
      <c r="A18" s="142">
        <v>73167164</v>
      </c>
      <c r="B18" s="142" t="s">
        <v>72</v>
      </c>
      <c r="C18" s="143" t="s">
        <v>225</v>
      </c>
      <c r="D18" s="143" t="s">
        <v>226</v>
      </c>
      <c r="E18" s="143" t="s">
        <v>227</v>
      </c>
      <c r="F18" s="143" t="s">
        <v>193</v>
      </c>
      <c r="G18" s="143">
        <v>3115467651</v>
      </c>
      <c r="H18" s="144">
        <v>27072</v>
      </c>
      <c r="I18" s="143">
        <v>9</v>
      </c>
      <c r="J18" s="144" t="s">
        <v>228</v>
      </c>
      <c r="K18" s="143" t="s">
        <v>179</v>
      </c>
      <c r="L18" s="170">
        <v>2785860</v>
      </c>
      <c r="M18" s="145" t="s">
        <v>60</v>
      </c>
      <c r="N18" s="145" t="s">
        <v>126</v>
      </c>
      <c r="O18" s="145" t="s">
        <v>59</v>
      </c>
      <c r="P18" s="145" t="s">
        <v>86</v>
      </c>
      <c r="Q18" s="145">
        <v>34</v>
      </c>
      <c r="R18" s="145">
        <v>1</v>
      </c>
    </row>
    <row r="19" spans="1:18" x14ac:dyDescent="0.25">
      <c r="A19" s="142">
        <v>72278279</v>
      </c>
      <c r="B19" s="142" t="s">
        <v>72</v>
      </c>
      <c r="C19" s="143" t="s">
        <v>229</v>
      </c>
      <c r="D19" s="143" t="s">
        <v>230</v>
      </c>
      <c r="E19" s="143" t="s">
        <v>178</v>
      </c>
      <c r="F19" s="143" t="s">
        <v>178</v>
      </c>
      <c r="G19" s="143">
        <v>3187154041</v>
      </c>
      <c r="H19" s="144" t="s">
        <v>231</v>
      </c>
      <c r="I19" s="143">
        <v>9</v>
      </c>
      <c r="J19" s="144">
        <v>42742</v>
      </c>
      <c r="K19" s="143" t="s">
        <v>158</v>
      </c>
      <c r="L19" s="170">
        <v>4127200</v>
      </c>
      <c r="M19" s="145" t="s">
        <v>60</v>
      </c>
      <c r="N19" s="145" t="s">
        <v>127</v>
      </c>
      <c r="O19" s="145" t="s">
        <v>59</v>
      </c>
      <c r="P19" s="145" t="s">
        <v>86</v>
      </c>
      <c r="Q19" s="145">
        <v>34</v>
      </c>
      <c r="R19" s="145">
        <v>1</v>
      </c>
    </row>
    <row r="20" spans="1:18" x14ac:dyDescent="0.25">
      <c r="A20" s="142">
        <v>79937350</v>
      </c>
      <c r="B20" s="142" t="s">
        <v>72</v>
      </c>
      <c r="C20" s="143" t="s">
        <v>232</v>
      </c>
      <c r="D20" s="143" t="s">
        <v>233</v>
      </c>
      <c r="E20" s="143" t="s">
        <v>178</v>
      </c>
      <c r="F20" s="143" t="s">
        <v>178</v>
      </c>
      <c r="G20" s="143">
        <v>3185096333</v>
      </c>
      <c r="H20" s="144" t="s">
        <v>234</v>
      </c>
      <c r="I20" s="143">
        <v>9</v>
      </c>
      <c r="J20" s="144" t="s">
        <v>235</v>
      </c>
      <c r="K20" s="143" t="s">
        <v>158</v>
      </c>
      <c r="L20" s="170">
        <v>4127200</v>
      </c>
      <c r="M20" s="145" t="s">
        <v>60</v>
      </c>
      <c r="N20" s="145" t="s">
        <v>127</v>
      </c>
      <c r="O20" s="145" t="s">
        <v>59</v>
      </c>
      <c r="P20" s="145" t="s">
        <v>86</v>
      </c>
      <c r="Q20" s="145">
        <v>34</v>
      </c>
      <c r="R20" s="145">
        <v>1</v>
      </c>
    </row>
    <row r="21" spans="1:18" x14ac:dyDescent="0.25">
      <c r="A21" s="142">
        <v>10184011</v>
      </c>
      <c r="B21" s="142" t="s">
        <v>72</v>
      </c>
      <c r="C21" s="143" t="s">
        <v>236</v>
      </c>
      <c r="D21" s="143" t="s">
        <v>237</v>
      </c>
      <c r="E21" s="143" t="s">
        <v>178</v>
      </c>
      <c r="F21" s="143" t="s">
        <v>178</v>
      </c>
      <c r="G21" s="143">
        <v>3134351473</v>
      </c>
      <c r="H21" s="144" t="s">
        <v>238</v>
      </c>
      <c r="I21" s="143">
        <v>9</v>
      </c>
      <c r="J21" s="144">
        <v>42742</v>
      </c>
      <c r="K21" s="143" t="s">
        <v>160</v>
      </c>
      <c r="L21" s="170">
        <v>2218370</v>
      </c>
      <c r="M21" s="145" t="s">
        <v>60</v>
      </c>
      <c r="N21" s="145" t="s">
        <v>126</v>
      </c>
      <c r="O21" s="145" t="s">
        <v>59</v>
      </c>
      <c r="P21" s="145" t="s">
        <v>86</v>
      </c>
      <c r="Q21" s="145">
        <v>34</v>
      </c>
      <c r="R21" s="145">
        <v>1</v>
      </c>
    </row>
    <row r="22" spans="1:18" x14ac:dyDescent="0.25">
      <c r="A22" s="172">
        <v>72286202</v>
      </c>
      <c r="B22" s="172" t="s">
        <v>72</v>
      </c>
      <c r="C22" s="173" t="s">
        <v>239</v>
      </c>
      <c r="D22" s="173" t="s">
        <v>14</v>
      </c>
      <c r="E22" s="173" t="s">
        <v>240</v>
      </c>
      <c r="F22" s="173" t="s">
        <v>241</v>
      </c>
      <c r="G22" s="173">
        <v>3102617335</v>
      </c>
      <c r="H22" s="174">
        <v>30421</v>
      </c>
      <c r="I22" s="173" t="s">
        <v>242</v>
      </c>
      <c r="J22" s="174">
        <v>43641</v>
      </c>
      <c r="K22" s="173" t="s">
        <v>161</v>
      </c>
      <c r="L22" s="175">
        <v>3000000</v>
      </c>
      <c r="M22" s="176" t="s">
        <v>60</v>
      </c>
      <c r="N22" s="176" t="s">
        <v>170</v>
      </c>
      <c r="O22" s="176" t="s">
        <v>59</v>
      </c>
      <c r="P22" s="176" t="s">
        <v>69</v>
      </c>
      <c r="Q22" s="176">
        <v>28</v>
      </c>
      <c r="R22" s="176">
        <v>1</v>
      </c>
    </row>
    <row r="23" spans="1:18" x14ac:dyDescent="0.25">
      <c r="A23" s="142">
        <v>1056775473</v>
      </c>
      <c r="B23" s="142" t="s">
        <v>72</v>
      </c>
      <c r="C23" s="143" t="s">
        <v>243</v>
      </c>
      <c r="D23" s="143" t="s">
        <v>244</v>
      </c>
      <c r="E23" s="143" t="s">
        <v>245</v>
      </c>
      <c r="F23" s="143" t="s">
        <v>245</v>
      </c>
      <c r="G23" s="143">
        <v>3124461794</v>
      </c>
      <c r="H23" s="144" t="s">
        <v>246</v>
      </c>
      <c r="I23" s="143">
        <v>9</v>
      </c>
      <c r="J23" s="144" t="s">
        <v>247</v>
      </c>
      <c r="K23" s="143" t="s">
        <v>248</v>
      </c>
      <c r="L23" s="177">
        <v>3500000</v>
      </c>
      <c r="M23" s="145" t="s">
        <v>60</v>
      </c>
      <c r="N23" s="145" t="s">
        <v>170</v>
      </c>
      <c r="O23" s="145" t="s">
        <v>59</v>
      </c>
      <c r="P23" s="145" t="s">
        <v>92</v>
      </c>
      <c r="Q23" s="145">
        <v>28</v>
      </c>
      <c r="R23" s="145">
        <v>6</v>
      </c>
    </row>
    <row r="24" spans="1:18" x14ac:dyDescent="0.25">
      <c r="A24" s="142">
        <v>1037599386</v>
      </c>
      <c r="B24" s="142" t="s">
        <v>72</v>
      </c>
      <c r="C24" s="143" t="s">
        <v>249</v>
      </c>
      <c r="D24" s="143" t="s">
        <v>250</v>
      </c>
      <c r="E24" s="143" t="s">
        <v>245</v>
      </c>
      <c r="F24" s="143" t="s">
        <v>245</v>
      </c>
      <c r="G24" s="143">
        <v>3105593381</v>
      </c>
      <c r="H24" s="144">
        <v>32762</v>
      </c>
      <c r="I24" s="143">
        <v>9</v>
      </c>
      <c r="J24" s="144" t="s">
        <v>247</v>
      </c>
      <c r="K24" s="143" t="s">
        <v>251</v>
      </c>
      <c r="L24" s="177">
        <v>3480780</v>
      </c>
      <c r="M24" s="145" t="s">
        <v>81</v>
      </c>
      <c r="N24" s="145" t="s">
        <v>129</v>
      </c>
      <c r="O24" s="145" t="s">
        <v>59</v>
      </c>
      <c r="P24" s="145" t="s">
        <v>92</v>
      </c>
      <c r="Q24" s="145">
        <v>28</v>
      </c>
      <c r="R24" s="145">
        <v>6</v>
      </c>
    </row>
    <row r="25" spans="1:18" x14ac:dyDescent="0.25">
      <c r="A25" s="142">
        <v>7252852</v>
      </c>
      <c r="B25" s="142" t="s">
        <v>72</v>
      </c>
      <c r="C25" s="143" t="s">
        <v>252</v>
      </c>
      <c r="D25" s="143" t="s">
        <v>253</v>
      </c>
      <c r="E25" s="143" t="s">
        <v>245</v>
      </c>
      <c r="F25" s="143" t="s">
        <v>245</v>
      </c>
      <c r="G25" s="143">
        <v>3123763283</v>
      </c>
      <c r="H25" s="144">
        <v>26546</v>
      </c>
      <c r="I25" s="143">
        <v>9</v>
      </c>
      <c r="J25" s="144" t="s">
        <v>247</v>
      </c>
      <c r="K25" s="143" t="s">
        <v>251</v>
      </c>
      <c r="L25" s="177">
        <v>3480780</v>
      </c>
      <c r="M25" s="145" t="s">
        <v>81</v>
      </c>
      <c r="N25" s="145" t="s">
        <v>129</v>
      </c>
      <c r="O25" s="145" t="s">
        <v>59</v>
      </c>
      <c r="P25" s="145" t="s">
        <v>92</v>
      </c>
      <c r="Q25" s="145">
        <v>28</v>
      </c>
      <c r="R25" s="145">
        <v>6</v>
      </c>
    </row>
    <row r="26" spans="1:18" x14ac:dyDescent="0.25">
      <c r="A26" s="142">
        <v>1017165721</v>
      </c>
      <c r="B26" s="142" t="s">
        <v>72</v>
      </c>
      <c r="C26" s="143" t="s">
        <v>254</v>
      </c>
      <c r="D26" s="143" t="s">
        <v>255</v>
      </c>
      <c r="E26" s="143" t="s">
        <v>245</v>
      </c>
      <c r="F26" s="143" t="s">
        <v>245</v>
      </c>
      <c r="G26" s="143">
        <v>3167124498</v>
      </c>
      <c r="H26" s="144">
        <v>32174</v>
      </c>
      <c r="I26" s="143">
        <v>9</v>
      </c>
      <c r="J26" s="144" t="s">
        <v>247</v>
      </c>
      <c r="K26" s="143" t="s">
        <v>251</v>
      </c>
      <c r="L26" s="177">
        <v>3480780</v>
      </c>
      <c r="M26" s="145" t="s">
        <v>81</v>
      </c>
      <c r="N26" s="145" t="s">
        <v>129</v>
      </c>
      <c r="O26" s="145" t="s">
        <v>59</v>
      </c>
      <c r="P26" s="145" t="s">
        <v>92</v>
      </c>
      <c r="Q26" s="145">
        <v>28</v>
      </c>
      <c r="R26" s="145">
        <v>6</v>
      </c>
    </row>
    <row r="27" spans="1:18" x14ac:dyDescent="0.25">
      <c r="A27" s="142">
        <v>1110450332</v>
      </c>
      <c r="B27" s="142" t="s">
        <v>72</v>
      </c>
      <c r="C27" s="143" t="s">
        <v>256</v>
      </c>
      <c r="D27" s="143" t="s">
        <v>257</v>
      </c>
      <c r="E27" s="143" t="s">
        <v>245</v>
      </c>
      <c r="F27" s="143" t="s">
        <v>245</v>
      </c>
      <c r="G27" s="143">
        <v>3165203175</v>
      </c>
      <c r="H27" s="144" t="s">
        <v>258</v>
      </c>
      <c r="I27" s="143">
        <v>9</v>
      </c>
      <c r="J27" s="144" t="s">
        <v>247</v>
      </c>
      <c r="K27" s="143" t="s">
        <v>251</v>
      </c>
      <c r="L27" s="177">
        <v>3480780</v>
      </c>
      <c r="M27" s="145" t="s">
        <v>81</v>
      </c>
      <c r="N27" s="145" t="s">
        <v>129</v>
      </c>
      <c r="O27" s="145" t="s">
        <v>59</v>
      </c>
      <c r="P27" s="145" t="s">
        <v>92</v>
      </c>
      <c r="Q27" s="145">
        <v>28</v>
      </c>
      <c r="R27" s="145">
        <v>6</v>
      </c>
    </row>
    <row r="28" spans="1:18" x14ac:dyDescent="0.25">
      <c r="A28" s="142">
        <v>1036130691</v>
      </c>
      <c r="B28" s="142" t="s">
        <v>72</v>
      </c>
      <c r="C28" s="143" t="s">
        <v>259</v>
      </c>
      <c r="D28" s="143" t="s">
        <v>260</v>
      </c>
      <c r="E28" s="143" t="s">
        <v>245</v>
      </c>
      <c r="F28" s="143" t="s">
        <v>245</v>
      </c>
      <c r="G28" s="143">
        <v>3203290938</v>
      </c>
      <c r="H28" s="144">
        <v>31875</v>
      </c>
      <c r="I28" s="143">
        <v>9</v>
      </c>
      <c r="J28" s="144" t="s">
        <v>247</v>
      </c>
      <c r="K28" s="143" t="s">
        <v>251</v>
      </c>
      <c r="L28" s="177">
        <v>3480780</v>
      </c>
      <c r="M28" s="145" t="s">
        <v>81</v>
      </c>
      <c r="N28" s="145" t="s">
        <v>129</v>
      </c>
      <c r="O28" s="145" t="s">
        <v>59</v>
      </c>
      <c r="P28" s="145" t="s">
        <v>92</v>
      </c>
      <c r="Q28" s="145">
        <v>28</v>
      </c>
      <c r="R28" s="145">
        <v>6</v>
      </c>
    </row>
    <row r="29" spans="1:18" x14ac:dyDescent="0.25">
      <c r="A29" s="142">
        <v>1039678368</v>
      </c>
      <c r="B29" s="142" t="s">
        <v>72</v>
      </c>
      <c r="C29" s="143" t="s">
        <v>261</v>
      </c>
      <c r="D29" s="143" t="s">
        <v>262</v>
      </c>
      <c r="E29" s="143" t="s">
        <v>245</v>
      </c>
      <c r="F29" s="143" t="s">
        <v>245</v>
      </c>
      <c r="G29" s="143">
        <v>3505469140</v>
      </c>
      <c r="H29" s="144" t="s">
        <v>263</v>
      </c>
      <c r="I29" s="143">
        <v>9</v>
      </c>
      <c r="J29" s="144" t="s">
        <v>247</v>
      </c>
      <c r="K29" s="143" t="s">
        <v>251</v>
      </c>
      <c r="L29" s="177">
        <v>3480780</v>
      </c>
      <c r="M29" s="145" t="s">
        <v>81</v>
      </c>
      <c r="N29" s="145" t="s">
        <v>129</v>
      </c>
      <c r="O29" s="145" t="s">
        <v>59</v>
      </c>
      <c r="P29" s="145" t="s">
        <v>92</v>
      </c>
      <c r="Q29" s="145">
        <v>28</v>
      </c>
      <c r="R29" s="145">
        <v>6</v>
      </c>
    </row>
    <row r="30" spans="1:18" x14ac:dyDescent="0.25">
      <c r="A30" s="142">
        <v>13567600</v>
      </c>
      <c r="B30" s="142" t="s">
        <v>72</v>
      </c>
      <c r="C30" s="143" t="s">
        <v>264</v>
      </c>
      <c r="D30" s="143" t="s">
        <v>265</v>
      </c>
      <c r="E30" s="143" t="s">
        <v>245</v>
      </c>
      <c r="F30" s="143" t="s">
        <v>245</v>
      </c>
      <c r="G30" s="143">
        <v>3186448693</v>
      </c>
      <c r="H30" s="144" t="s">
        <v>266</v>
      </c>
      <c r="I30" s="143">
        <v>9</v>
      </c>
      <c r="J30" s="144" t="s">
        <v>247</v>
      </c>
      <c r="K30" s="143" t="s">
        <v>251</v>
      </c>
      <c r="L30" s="177">
        <v>3480780</v>
      </c>
      <c r="M30" s="145" t="s">
        <v>81</v>
      </c>
      <c r="N30" s="145" t="s">
        <v>129</v>
      </c>
      <c r="O30" s="145" t="s">
        <v>59</v>
      </c>
      <c r="P30" s="145" t="s">
        <v>92</v>
      </c>
      <c r="Q30" s="145">
        <v>28</v>
      </c>
      <c r="R30" s="145">
        <v>6</v>
      </c>
    </row>
    <row r="31" spans="1:18" x14ac:dyDescent="0.25">
      <c r="A31" s="142">
        <v>37580829</v>
      </c>
      <c r="B31" s="142" t="s">
        <v>73</v>
      </c>
      <c r="C31" s="143" t="s">
        <v>267</v>
      </c>
      <c r="D31" s="143" t="s">
        <v>268</v>
      </c>
      <c r="E31" s="143" t="s">
        <v>245</v>
      </c>
      <c r="F31" s="143" t="s">
        <v>245</v>
      </c>
      <c r="G31" s="143">
        <v>3164319843</v>
      </c>
      <c r="H31" s="144">
        <v>31325</v>
      </c>
      <c r="I31" s="143">
        <v>9</v>
      </c>
      <c r="J31" s="144" t="s">
        <v>269</v>
      </c>
      <c r="K31" s="143" t="s">
        <v>251</v>
      </c>
      <c r="L31" s="177">
        <v>3480780</v>
      </c>
      <c r="M31" s="145" t="s">
        <v>81</v>
      </c>
      <c r="N31" s="145" t="s">
        <v>129</v>
      </c>
      <c r="O31" s="145" t="s">
        <v>59</v>
      </c>
      <c r="P31" s="145" t="s">
        <v>92</v>
      </c>
      <c r="Q31" s="145">
        <v>28</v>
      </c>
      <c r="R31" s="145">
        <v>6</v>
      </c>
    </row>
    <row r="32" spans="1:18" x14ac:dyDescent="0.25">
      <c r="A32" s="142">
        <v>29677818</v>
      </c>
      <c r="B32" s="142" t="s">
        <v>73</v>
      </c>
      <c r="C32" s="143" t="s">
        <v>270</v>
      </c>
      <c r="D32" s="143" t="s">
        <v>271</v>
      </c>
      <c r="E32" s="143" t="s">
        <v>245</v>
      </c>
      <c r="F32" s="143" t="s">
        <v>245</v>
      </c>
      <c r="G32" s="143">
        <v>3163738555</v>
      </c>
      <c r="H32" s="144">
        <v>30591</v>
      </c>
      <c r="I32" s="143">
        <v>9</v>
      </c>
      <c r="J32" s="144" t="s">
        <v>247</v>
      </c>
      <c r="K32" s="143" t="s">
        <v>251</v>
      </c>
      <c r="L32" s="177">
        <v>3480780</v>
      </c>
      <c r="M32" s="145" t="s">
        <v>81</v>
      </c>
      <c r="N32" s="145" t="s">
        <v>171</v>
      </c>
      <c r="O32" s="145" t="s">
        <v>59</v>
      </c>
      <c r="P32" s="145" t="s">
        <v>92</v>
      </c>
      <c r="Q32" s="145">
        <v>28</v>
      </c>
      <c r="R32" s="145">
        <v>6</v>
      </c>
    </row>
    <row r="33" spans="1:18" x14ac:dyDescent="0.25">
      <c r="A33" s="165">
        <v>9897000</v>
      </c>
      <c r="B33" s="165" t="s">
        <v>73</v>
      </c>
      <c r="C33" s="166" t="s">
        <v>289</v>
      </c>
      <c r="D33" s="166" t="s">
        <v>290</v>
      </c>
      <c r="E33" s="166" t="s">
        <v>291</v>
      </c>
      <c r="F33" s="166" t="s">
        <v>292</v>
      </c>
      <c r="G33" s="166" t="s">
        <v>293</v>
      </c>
      <c r="H33" s="167" t="s">
        <v>294</v>
      </c>
      <c r="I33" s="166" t="s">
        <v>295</v>
      </c>
      <c r="J33" s="167" t="s">
        <v>296</v>
      </c>
      <c r="K33" s="166" t="s">
        <v>288</v>
      </c>
      <c r="L33" s="168" t="s">
        <v>297</v>
      </c>
      <c r="M33" s="169" t="s">
        <v>60</v>
      </c>
      <c r="N33" s="169" t="s">
        <v>170</v>
      </c>
      <c r="O33" s="169" t="s">
        <v>59</v>
      </c>
      <c r="P33" s="169" t="s">
        <v>69</v>
      </c>
      <c r="Q33" s="169" t="s">
        <v>79</v>
      </c>
      <c r="R33" s="169" t="s">
        <v>298</v>
      </c>
    </row>
    <row r="34" spans="1:18" x14ac:dyDescent="0.25">
      <c r="A34" s="165"/>
      <c r="B34" s="165"/>
      <c r="C34" s="166"/>
      <c r="D34" s="166"/>
      <c r="E34" s="166"/>
      <c r="F34" s="166"/>
      <c r="G34" s="166"/>
      <c r="H34" s="167"/>
      <c r="I34" s="166"/>
      <c r="J34" s="167"/>
      <c r="K34" s="166"/>
      <c r="L34" s="168"/>
      <c r="M34" s="169"/>
      <c r="N34" s="169"/>
      <c r="O34" s="169"/>
      <c r="P34" s="169"/>
      <c r="Q34" s="169"/>
      <c r="R34" s="169"/>
    </row>
    <row r="35" spans="1:18" x14ac:dyDescent="0.25">
      <c r="A35" s="165"/>
      <c r="B35" s="165"/>
      <c r="C35" s="166"/>
      <c r="D35" s="166"/>
      <c r="E35" s="166"/>
      <c r="F35" s="166"/>
      <c r="G35" s="166"/>
      <c r="H35" s="167"/>
      <c r="I35" s="166"/>
      <c r="J35" s="167"/>
      <c r="K35" s="166"/>
      <c r="L35" s="168"/>
      <c r="M35" s="169"/>
      <c r="N35" s="169"/>
      <c r="O35" s="169"/>
      <c r="P35" s="169"/>
      <c r="Q35" s="169"/>
      <c r="R35" s="169"/>
    </row>
    <row r="36" spans="1:18" x14ac:dyDescent="0.25">
      <c r="A36" s="165"/>
      <c r="B36" s="165"/>
      <c r="C36" s="166"/>
      <c r="D36" s="166"/>
      <c r="E36" s="166"/>
      <c r="F36" s="166"/>
      <c r="G36" s="166"/>
      <c r="H36" s="167"/>
      <c r="I36" s="166"/>
      <c r="J36" s="167"/>
      <c r="K36" s="166"/>
      <c r="L36" s="168"/>
      <c r="M36" s="169"/>
      <c r="N36" s="169"/>
      <c r="O36" s="169"/>
      <c r="P36" s="169"/>
      <c r="Q36" s="169"/>
      <c r="R36" s="169"/>
    </row>
    <row r="37" spans="1:18" x14ac:dyDescent="0.25">
      <c r="A37" s="165"/>
      <c r="B37" s="165"/>
      <c r="C37" s="166"/>
      <c r="D37" s="166"/>
      <c r="E37" s="166"/>
      <c r="F37" s="166"/>
      <c r="G37" s="166"/>
      <c r="H37" s="167"/>
      <c r="I37" s="166"/>
      <c r="J37" s="167"/>
      <c r="K37" s="166"/>
      <c r="L37" s="168"/>
      <c r="M37" s="169"/>
      <c r="N37" s="169"/>
      <c r="O37" s="169"/>
      <c r="P37" s="169"/>
      <c r="Q37" s="169"/>
      <c r="R37" s="169"/>
    </row>
    <row r="38" spans="1:18" x14ac:dyDescent="0.25">
      <c r="A38" s="165"/>
      <c r="B38" s="165"/>
      <c r="C38" s="166"/>
      <c r="D38" s="166"/>
      <c r="E38" s="166"/>
      <c r="F38" s="166"/>
      <c r="G38" s="166"/>
      <c r="H38" s="167"/>
      <c r="I38" s="166"/>
      <c r="J38" s="167"/>
      <c r="K38" s="166"/>
      <c r="L38" s="168"/>
      <c r="M38" s="169"/>
      <c r="N38" s="169"/>
      <c r="O38" s="169"/>
      <c r="P38" s="169"/>
      <c r="Q38" s="169"/>
      <c r="R38" s="169"/>
    </row>
    <row r="39" spans="1:18" x14ac:dyDescent="0.25">
      <c r="A39" s="165"/>
      <c r="B39" s="165"/>
      <c r="C39" s="166"/>
      <c r="D39" s="166"/>
      <c r="E39" s="166"/>
      <c r="F39" s="166"/>
      <c r="G39" s="166"/>
      <c r="H39" s="167"/>
      <c r="I39" s="166"/>
      <c r="J39" s="167"/>
      <c r="K39" s="166"/>
      <c r="L39" s="168"/>
      <c r="M39" s="169"/>
      <c r="N39" s="169"/>
      <c r="O39" s="169"/>
      <c r="P39" s="169"/>
      <c r="Q39" s="169"/>
      <c r="R39" s="169"/>
    </row>
    <row r="40" spans="1:18" x14ac:dyDescent="0.25">
      <c r="A40" s="165"/>
      <c r="B40" s="165"/>
      <c r="C40" s="166"/>
      <c r="D40" s="166"/>
      <c r="E40" s="166"/>
      <c r="F40" s="166"/>
      <c r="G40" s="166"/>
      <c r="H40" s="167"/>
      <c r="I40" s="166"/>
      <c r="J40" s="167"/>
      <c r="K40" s="166"/>
      <c r="L40" s="168"/>
      <c r="M40" s="169"/>
      <c r="N40" s="169"/>
      <c r="O40" s="169"/>
      <c r="P40" s="169"/>
      <c r="Q40" s="169"/>
      <c r="R40" s="169"/>
    </row>
    <row r="41" spans="1:18" x14ac:dyDescent="0.25">
      <c r="A41" s="165"/>
      <c r="B41" s="165"/>
      <c r="C41" s="166"/>
      <c r="D41" s="166"/>
      <c r="E41" s="166"/>
      <c r="F41" s="166"/>
      <c r="G41" s="166"/>
      <c r="H41" s="167"/>
      <c r="I41" s="166"/>
      <c r="J41" s="167"/>
      <c r="K41" s="166"/>
      <c r="L41" s="168"/>
      <c r="M41" s="169"/>
      <c r="N41" s="169"/>
      <c r="O41" s="169"/>
      <c r="P41" s="169"/>
      <c r="Q41" s="169"/>
      <c r="R41" s="169"/>
    </row>
    <row r="42" spans="1:18" x14ac:dyDescent="0.25">
      <c r="A42" s="165"/>
      <c r="B42" s="165"/>
      <c r="C42" s="166"/>
      <c r="D42" s="166"/>
      <c r="E42" s="166"/>
      <c r="F42" s="166"/>
      <c r="G42" s="166"/>
      <c r="H42" s="167"/>
      <c r="I42" s="166"/>
      <c r="J42" s="167"/>
      <c r="K42" s="166"/>
      <c r="L42" s="168"/>
      <c r="M42" s="169"/>
      <c r="N42" s="169"/>
      <c r="O42" s="169"/>
      <c r="P42" s="169"/>
      <c r="Q42" s="169"/>
      <c r="R42" s="169"/>
    </row>
    <row r="43" spans="1:18" x14ac:dyDescent="0.25">
      <c r="A43" s="165"/>
      <c r="B43" s="165"/>
      <c r="C43" s="166"/>
      <c r="D43" s="166"/>
      <c r="E43" s="166"/>
      <c r="F43" s="166"/>
      <c r="G43" s="166"/>
      <c r="H43" s="167"/>
      <c r="I43" s="166"/>
      <c r="J43" s="167"/>
      <c r="K43" s="166"/>
      <c r="L43" s="168"/>
      <c r="M43" s="169"/>
      <c r="N43" s="169"/>
      <c r="O43" s="169"/>
      <c r="P43" s="169"/>
      <c r="Q43" s="169"/>
      <c r="R43" s="169"/>
    </row>
    <row r="44" spans="1:18" x14ac:dyDescent="0.25">
      <c r="A44" s="165"/>
      <c r="B44" s="165"/>
      <c r="C44" s="166"/>
      <c r="D44" s="166"/>
      <c r="E44" s="166"/>
      <c r="F44" s="166"/>
      <c r="G44" s="166"/>
      <c r="H44" s="167"/>
      <c r="I44" s="166"/>
      <c r="J44" s="167"/>
      <c r="K44" s="166"/>
      <c r="L44" s="168"/>
      <c r="M44" s="169"/>
      <c r="N44" s="169"/>
      <c r="O44" s="169"/>
      <c r="P44" s="169"/>
      <c r="Q44" s="169"/>
      <c r="R44" s="169"/>
    </row>
    <row r="45" spans="1:18" x14ac:dyDescent="0.25">
      <c r="A45" s="165"/>
      <c r="B45" s="165"/>
      <c r="C45" s="166"/>
      <c r="D45" s="166"/>
      <c r="E45" s="166"/>
      <c r="F45" s="166"/>
      <c r="G45" s="166"/>
      <c r="H45" s="167"/>
      <c r="I45" s="166"/>
      <c r="J45" s="167"/>
      <c r="K45" s="166"/>
      <c r="L45" s="168"/>
      <c r="M45" s="169"/>
      <c r="N45" s="169"/>
      <c r="O45" s="169"/>
      <c r="P45" s="169"/>
      <c r="Q45" s="169"/>
      <c r="R45" s="169"/>
    </row>
    <row r="46" spans="1:18" x14ac:dyDescent="0.25">
      <c r="A46" s="165"/>
      <c r="B46" s="165"/>
      <c r="C46" s="166"/>
      <c r="D46" s="166"/>
      <c r="E46" s="166"/>
      <c r="F46" s="166"/>
      <c r="G46" s="166"/>
      <c r="H46" s="167"/>
      <c r="I46" s="166"/>
      <c r="J46" s="167"/>
      <c r="K46" s="166"/>
      <c r="L46" s="168"/>
      <c r="M46" s="169"/>
      <c r="N46" s="169"/>
      <c r="O46" s="169"/>
      <c r="P46" s="169"/>
      <c r="Q46" s="169"/>
      <c r="R46" s="169"/>
    </row>
    <row r="47" spans="1:18" x14ac:dyDescent="0.25">
      <c r="A47" s="165"/>
      <c r="B47" s="165"/>
      <c r="C47" s="166"/>
      <c r="D47" s="166"/>
      <c r="E47" s="166"/>
      <c r="F47" s="166"/>
      <c r="G47" s="166"/>
      <c r="H47" s="167"/>
      <c r="I47" s="166"/>
      <c r="J47" s="167"/>
      <c r="K47" s="166"/>
      <c r="L47" s="168"/>
      <c r="M47" s="169"/>
      <c r="N47" s="169"/>
      <c r="O47" s="169"/>
      <c r="P47" s="169"/>
      <c r="Q47" s="169"/>
      <c r="R47" s="169"/>
    </row>
    <row r="48" spans="1:18" x14ac:dyDescent="0.25">
      <c r="A48" s="165"/>
      <c r="B48" s="165"/>
      <c r="C48" s="166"/>
      <c r="D48" s="166"/>
      <c r="E48" s="166"/>
      <c r="F48" s="166"/>
      <c r="G48" s="166"/>
      <c r="H48" s="167"/>
      <c r="I48" s="166"/>
      <c r="J48" s="167"/>
      <c r="K48" s="166"/>
      <c r="L48" s="168"/>
      <c r="M48" s="169"/>
      <c r="N48" s="169"/>
      <c r="O48" s="169"/>
      <c r="P48" s="169"/>
      <c r="Q48" s="169"/>
      <c r="R48" s="169"/>
    </row>
    <row r="49" spans="1:18" x14ac:dyDescent="0.25">
      <c r="A49" s="165"/>
      <c r="B49" s="165"/>
      <c r="C49" s="166"/>
      <c r="D49" s="166"/>
      <c r="E49" s="166"/>
      <c r="F49" s="166"/>
      <c r="G49" s="166"/>
      <c r="H49" s="167"/>
      <c r="I49" s="166"/>
      <c r="J49" s="167"/>
      <c r="K49" s="166"/>
      <c r="L49" s="168"/>
      <c r="M49" s="169"/>
      <c r="N49" s="169"/>
      <c r="O49" s="169"/>
      <c r="P49" s="169"/>
      <c r="Q49" s="169"/>
      <c r="R49" s="169"/>
    </row>
    <row r="50" spans="1:18" x14ac:dyDescent="0.25">
      <c r="A50" s="165"/>
      <c r="B50" s="165"/>
      <c r="C50" s="166"/>
      <c r="D50" s="166"/>
      <c r="E50" s="166"/>
      <c r="F50" s="166"/>
      <c r="G50" s="166"/>
      <c r="H50" s="167"/>
      <c r="I50" s="166"/>
      <c r="J50" s="167"/>
      <c r="K50" s="166"/>
      <c r="L50" s="168"/>
      <c r="M50" s="169"/>
      <c r="N50" s="169"/>
      <c r="O50" s="169"/>
      <c r="P50" s="169"/>
      <c r="Q50" s="169"/>
      <c r="R50" s="169"/>
    </row>
    <row r="51" spans="1:18" x14ac:dyDescent="0.25">
      <c r="A51" s="165"/>
      <c r="B51" s="165"/>
      <c r="C51" s="166"/>
      <c r="D51" s="166"/>
      <c r="E51" s="166"/>
      <c r="F51" s="166"/>
      <c r="G51" s="166"/>
      <c r="H51" s="167"/>
      <c r="I51" s="166"/>
      <c r="J51" s="167"/>
      <c r="K51" s="166"/>
      <c r="L51" s="168"/>
      <c r="M51" s="169"/>
      <c r="N51" s="169"/>
      <c r="O51" s="169"/>
      <c r="P51" s="169"/>
      <c r="Q51" s="169"/>
      <c r="R51" s="169"/>
    </row>
    <row r="52" spans="1:18" x14ac:dyDescent="0.25">
      <c r="A52" s="165"/>
      <c r="B52" s="165"/>
      <c r="C52" s="166"/>
      <c r="D52" s="166"/>
      <c r="E52" s="166"/>
      <c r="F52" s="166"/>
      <c r="G52" s="166"/>
      <c r="H52" s="167"/>
      <c r="I52" s="166"/>
      <c r="J52" s="167"/>
      <c r="K52" s="166"/>
      <c r="L52" s="168"/>
      <c r="M52" s="169"/>
      <c r="N52" s="169"/>
      <c r="O52" s="169"/>
      <c r="P52" s="169"/>
      <c r="Q52" s="169"/>
      <c r="R52" s="169"/>
    </row>
    <row r="53" spans="1:18" x14ac:dyDescent="0.25">
      <c r="A53" s="165"/>
      <c r="B53" s="165"/>
      <c r="C53" s="166"/>
      <c r="D53" s="166"/>
      <c r="E53" s="166"/>
      <c r="F53" s="166"/>
      <c r="G53" s="166"/>
      <c r="H53" s="167"/>
      <c r="I53" s="166"/>
      <c r="J53" s="167"/>
      <c r="K53" s="166"/>
      <c r="L53" s="168"/>
      <c r="M53" s="169"/>
      <c r="N53" s="169"/>
      <c r="O53" s="169"/>
      <c r="P53" s="169"/>
      <c r="Q53" s="169"/>
      <c r="R53" s="169"/>
    </row>
    <row r="54" spans="1:18" x14ac:dyDescent="0.25">
      <c r="A54" s="165"/>
      <c r="B54" s="165"/>
      <c r="C54" s="166"/>
      <c r="D54" s="166"/>
      <c r="E54" s="166"/>
      <c r="F54" s="166"/>
      <c r="G54" s="166"/>
      <c r="H54" s="167"/>
      <c r="I54" s="166"/>
      <c r="J54" s="167"/>
      <c r="K54" s="166"/>
      <c r="L54" s="168"/>
      <c r="M54" s="169"/>
      <c r="N54" s="169"/>
      <c r="O54" s="169"/>
      <c r="P54" s="169"/>
      <c r="Q54" s="169"/>
      <c r="R54" s="169"/>
    </row>
    <row r="55" spans="1:18" x14ac:dyDescent="0.25">
      <c r="A55" s="165"/>
      <c r="B55" s="165"/>
      <c r="C55" s="166"/>
      <c r="D55" s="166"/>
      <c r="E55" s="166"/>
      <c r="F55" s="166"/>
      <c r="G55" s="166"/>
      <c r="H55" s="167"/>
      <c r="I55" s="166"/>
      <c r="J55" s="167"/>
      <c r="K55" s="166"/>
      <c r="L55" s="168"/>
      <c r="M55" s="169"/>
      <c r="N55" s="169"/>
      <c r="O55" s="169"/>
      <c r="P55" s="169"/>
      <c r="Q55" s="169"/>
      <c r="R55" s="169"/>
    </row>
    <row r="56" spans="1:18" x14ac:dyDescent="0.25">
      <c r="A56" s="165"/>
      <c r="B56" s="165"/>
      <c r="C56" s="166"/>
      <c r="D56" s="166"/>
      <c r="E56" s="166"/>
      <c r="F56" s="166"/>
      <c r="G56" s="166"/>
      <c r="H56" s="167"/>
      <c r="I56" s="166"/>
      <c r="J56" s="167"/>
      <c r="K56" s="166"/>
      <c r="L56" s="168"/>
      <c r="M56" s="169"/>
      <c r="N56" s="169"/>
      <c r="O56" s="169"/>
      <c r="P56" s="169"/>
      <c r="Q56" s="169"/>
      <c r="R56" s="169"/>
    </row>
    <row r="57" spans="1:18" x14ac:dyDescent="0.25">
      <c r="A57" s="165"/>
      <c r="B57" s="165"/>
      <c r="C57" s="166"/>
      <c r="D57" s="166"/>
      <c r="E57" s="166"/>
      <c r="F57" s="166"/>
      <c r="G57" s="166"/>
      <c r="H57" s="167"/>
      <c r="I57" s="166"/>
      <c r="J57" s="167"/>
      <c r="K57" s="166"/>
      <c r="L57" s="168"/>
      <c r="M57" s="169"/>
      <c r="N57" s="169"/>
      <c r="O57" s="169"/>
      <c r="P57" s="169"/>
      <c r="Q57" s="169"/>
      <c r="R57" s="169"/>
    </row>
    <row r="58" spans="1:18" x14ac:dyDescent="0.25">
      <c r="A58" s="165"/>
      <c r="B58" s="165"/>
      <c r="C58" s="166"/>
      <c r="D58" s="166"/>
      <c r="E58" s="166"/>
      <c r="F58" s="166"/>
      <c r="G58" s="166"/>
      <c r="H58" s="167"/>
      <c r="I58" s="166"/>
      <c r="J58" s="167"/>
      <c r="K58" s="166"/>
      <c r="L58" s="168"/>
      <c r="M58" s="169"/>
      <c r="N58" s="169"/>
      <c r="O58" s="169"/>
      <c r="P58" s="169"/>
      <c r="Q58" s="169"/>
      <c r="R58" s="169"/>
    </row>
    <row r="59" spans="1:18" x14ac:dyDescent="0.25">
      <c r="A59" s="165"/>
      <c r="B59" s="165"/>
      <c r="C59" s="166"/>
      <c r="D59" s="166"/>
      <c r="E59" s="166"/>
      <c r="F59" s="166"/>
      <c r="G59" s="166"/>
      <c r="H59" s="167"/>
      <c r="I59" s="166"/>
      <c r="J59" s="167"/>
      <c r="K59" s="166"/>
      <c r="L59" s="168"/>
      <c r="M59" s="169"/>
      <c r="N59" s="169"/>
      <c r="O59" s="169"/>
      <c r="P59" s="169"/>
      <c r="Q59" s="169"/>
      <c r="R59" s="169"/>
    </row>
    <row r="60" spans="1:18" x14ac:dyDescent="0.25">
      <c r="A60" s="165"/>
      <c r="B60" s="165"/>
      <c r="C60" s="166"/>
      <c r="D60" s="166"/>
      <c r="E60" s="166"/>
      <c r="F60" s="166"/>
      <c r="G60" s="166"/>
      <c r="H60" s="167"/>
      <c r="I60" s="166"/>
      <c r="J60" s="167"/>
      <c r="K60" s="166"/>
      <c r="L60" s="168"/>
      <c r="M60" s="169"/>
      <c r="N60" s="169"/>
      <c r="O60" s="169"/>
      <c r="P60" s="169"/>
      <c r="Q60" s="169"/>
      <c r="R60" s="169"/>
    </row>
  </sheetData>
  <sheetProtection algorithmName="SHA-512" hashValue="laPw7OcHWiYM4iBE8vUoB3G2GaE32GgOtVHE8gI+UmH/XkY03ptur/YNJQ2l2/TeXkDGjt7xt+JV+xF3ricpHg==" saltValue="AYVrvXk+qts3gTq/vFjB7Q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4DB22-C586-4826-B3D3-1692A100C1F4}">
  <sheetPr codeName="Hoja7">
    <pageSetUpPr fitToPage="1"/>
  </sheetPr>
  <dimension ref="A1:X79"/>
  <sheetViews>
    <sheetView showGridLines="0" view="pageBreakPreview" topLeftCell="A10" zoomScale="70" zoomScaleNormal="70" zoomScaleSheetLayoutView="70" zoomScalePageLayoutView="90" workbookViewId="0">
      <selection activeCell="N19" sqref="N19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>18/02/1970</v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6" t="s">
        <v>16</v>
      </c>
      <c r="C2" s="267"/>
      <c r="D2" s="268"/>
      <c r="E2" s="275" t="s">
        <v>17</v>
      </c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7"/>
      <c r="R2" s="1"/>
      <c r="S2" s="3"/>
      <c r="T2" s="3"/>
      <c r="U2" s="3"/>
      <c r="V2" s="1"/>
    </row>
    <row r="3" spans="1:24" ht="15.75" customHeight="1" x14ac:dyDescent="0.25">
      <c r="A3" s="1"/>
      <c r="B3" s="269"/>
      <c r="C3" s="270"/>
      <c r="D3" s="271"/>
      <c r="E3" s="278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80"/>
      <c r="R3" s="1"/>
      <c r="S3" s="4"/>
      <c r="T3" s="1"/>
      <c r="U3" s="1"/>
      <c r="V3" s="1"/>
    </row>
    <row r="4" spans="1:24" ht="15.75" customHeight="1" x14ac:dyDescent="0.25">
      <c r="A4" s="1"/>
      <c r="B4" s="269"/>
      <c r="C4" s="270"/>
      <c r="D4" s="271"/>
      <c r="E4" s="278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80"/>
      <c r="R4" s="1"/>
      <c r="S4" s="4"/>
      <c r="T4" s="1"/>
      <c r="U4" s="1"/>
      <c r="V4" s="1"/>
    </row>
    <row r="5" spans="1:24" ht="15.75" customHeight="1" thickBot="1" x14ac:dyDescent="0.3">
      <c r="A5" s="1"/>
      <c r="B5" s="272"/>
      <c r="C5" s="273"/>
      <c r="D5" s="274"/>
      <c r="E5" s="281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3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2" t="s">
        <v>18</v>
      </c>
      <c r="D7" s="252"/>
      <c r="E7" s="258" t="str">
        <f>IF($E$8="","",VLOOKUP($E$8,'BD Personal'!$A$6:$R$64,3,FALSE))&amp;" "&amp;IF($E$8="","",VLOOKUP($E$8,'BD Personal'!$A$6:$R$64,4,FALSE))</f>
        <v>Faiver Yovany Polania Ardila</v>
      </c>
      <c r="F7" s="258"/>
      <c r="G7" s="258"/>
      <c r="H7" s="258"/>
      <c r="I7" s="252" t="s">
        <v>19</v>
      </c>
      <c r="J7" s="252"/>
      <c r="K7" s="258" t="str">
        <f>IF($E$8="","",VLOOKUP($E$8,'BD Personal'!$A$6:$R$64,2,FALSE))</f>
        <v>Masculino</v>
      </c>
      <c r="L7" s="258"/>
      <c r="M7" s="258"/>
      <c r="N7" s="252" t="s">
        <v>20</v>
      </c>
      <c r="O7" s="252"/>
      <c r="P7" s="284">
        <f ca="1">IF($E$8="","",TODAY()-VLOOKUP($E$8,'BD Personal'!$A$6:$R$64,8,FALSE))</f>
        <v>18404</v>
      </c>
      <c r="Q7" s="285"/>
      <c r="S7" s="4"/>
    </row>
    <row r="8" spans="1:24" ht="26.1" customHeight="1" x14ac:dyDescent="0.25">
      <c r="B8" s="130"/>
      <c r="C8" s="252" t="s">
        <v>21</v>
      </c>
      <c r="D8" s="252"/>
      <c r="E8" s="263">
        <v>7704176</v>
      </c>
      <c r="F8" s="263"/>
      <c r="G8" s="263"/>
      <c r="H8" s="263"/>
      <c r="I8" s="252" t="s">
        <v>22</v>
      </c>
      <c r="J8" s="252"/>
      <c r="K8" s="258" t="str">
        <f>IF($E$8="","",VLOOKUP($E$8,'BD Personal'!$A$6:$R$64,11,FALSE))</f>
        <v>Inspector</v>
      </c>
      <c r="L8" s="258"/>
      <c r="M8" s="258"/>
      <c r="N8" s="252" t="s">
        <v>23</v>
      </c>
      <c r="O8" s="252"/>
      <c r="P8" s="264" t="str">
        <f>IF($E$8="","",VLOOKUP($E$8,'BD Personal'!$A$6:$R$64,10,FALSE))</f>
        <v>18/02/2020</v>
      </c>
      <c r="Q8" s="265"/>
      <c r="S8" s="4"/>
      <c r="T8" s="6"/>
      <c r="U8" s="286"/>
      <c r="V8" s="286"/>
      <c r="W8" s="286"/>
      <c r="X8" s="2"/>
    </row>
    <row r="9" spans="1:24" ht="26.1" customHeight="1" x14ac:dyDescent="0.2">
      <c r="B9" s="130"/>
      <c r="C9" s="252" t="s">
        <v>24</v>
      </c>
      <c r="D9" s="252"/>
      <c r="E9" s="258" t="str">
        <f>IF($E$8="","",VLOOKUP($E$8,'BD Personal'!$A$6:$R$64,13,FALSE))</f>
        <v>Legal</v>
      </c>
      <c r="F9" s="258"/>
      <c r="G9" s="258"/>
      <c r="H9" s="258"/>
      <c r="I9" s="252" t="s">
        <v>25</v>
      </c>
      <c r="J9" s="252"/>
      <c r="K9" s="258" t="str">
        <f>IF($E$8="","",VLOOKUP($E$8,'BD Personal'!$A$6:$R$64,14,FALSE))</f>
        <v>14 X 7 12 Horas</v>
      </c>
      <c r="L9" s="258"/>
      <c r="M9" s="258"/>
      <c r="N9" s="261" t="s">
        <v>26</v>
      </c>
      <c r="O9" s="261"/>
      <c r="P9" s="259"/>
      <c r="Q9" s="260"/>
      <c r="S9" s="4"/>
      <c r="T9" s="7"/>
      <c r="U9" s="7"/>
      <c r="V9" s="262"/>
      <c r="W9" s="262"/>
      <c r="X9" s="262"/>
    </row>
    <row r="10" spans="1:24" ht="26.1" customHeight="1" x14ac:dyDescent="0.25">
      <c r="B10" s="130"/>
      <c r="C10" s="252" t="s">
        <v>27</v>
      </c>
      <c r="D10" s="252"/>
      <c r="E10" s="257" t="str">
        <f>IF($E$8="","",VLOOKUP($E$8,'BD Personal'!$A$6:$R$64,15,FALSE))</f>
        <v>Caleb Brett</v>
      </c>
      <c r="F10" s="257"/>
      <c r="G10" s="257"/>
      <c r="H10" s="257"/>
      <c r="I10" s="252" t="s">
        <v>28</v>
      </c>
      <c r="J10" s="252"/>
      <c r="K10" s="258">
        <f>IF($E$8="","",VLOOKUP($E$8,'BD Personal'!$A$6:$R$64,17,FALSE))</f>
        <v>34</v>
      </c>
      <c r="L10" s="258"/>
      <c r="M10" s="258"/>
      <c r="N10" s="252" t="s">
        <v>29</v>
      </c>
      <c r="O10" s="252"/>
      <c r="P10" s="259">
        <f>IF($E$8="","",VLOOKUP($E$8,'BD Personal'!$A$6:$R$64,18,FALSE))</f>
        <v>3</v>
      </c>
      <c r="Q10" s="260"/>
      <c r="S10" s="4"/>
      <c r="T10" s="8"/>
      <c r="U10" s="251"/>
      <c r="V10" s="251"/>
      <c r="W10" s="251"/>
      <c r="X10" s="2"/>
    </row>
    <row r="11" spans="1:24" ht="26.1" customHeight="1" thickBot="1" x14ac:dyDescent="0.25">
      <c r="B11" s="130"/>
      <c r="C11" s="252" t="s">
        <v>30</v>
      </c>
      <c r="D11" s="252"/>
      <c r="E11" s="253" t="str">
        <f>IF($E$8="","",VLOOKUP($E$8,'BD Personal'!$A$6:$R$64,16,FALSE))</f>
        <v>Jaguey</v>
      </c>
      <c r="F11" s="253"/>
      <c r="G11" s="253"/>
      <c r="H11" s="253"/>
      <c r="I11" s="254" t="s">
        <v>31</v>
      </c>
      <c r="J11" s="254"/>
      <c r="K11" s="255" t="str">
        <f>Cronograma!B6</f>
        <v>AGOSTO</v>
      </c>
      <c r="L11" s="255"/>
      <c r="M11" s="255"/>
      <c r="N11" s="131"/>
      <c r="O11" s="132"/>
      <c r="P11" s="133"/>
      <c r="Q11" s="134"/>
      <c r="S11" s="4"/>
      <c r="T11" s="7"/>
      <c r="U11" s="2"/>
      <c r="V11" s="256"/>
      <c r="W11" s="256"/>
      <c r="X11" s="256"/>
    </row>
    <row r="12" spans="1:24" ht="27.75" customHeight="1" x14ac:dyDescent="0.25">
      <c r="A12" s="1"/>
      <c r="B12" s="243" t="s">
        <v>32</v>
      </c>
      <c r="C12" s="244"/>
      <c r="D12" s="244" t="s">
        <v>33</v>
      </c>
      <c r="E12" s="244"/>
      <c r="F12" s="229" t="s">
        <v>2</v>
      </c>
      <c r="G12" s="229" t="s">
        <v>176</v>
      </c>
      <c r="H12" s="229" t="s">
        <v>3</v>
      </c>
      <c r="I12" s="229" t="s">
        <v>4</v>
      </c>
      <c r="J12" s="229" t="s">
        <v>34</v>
      </c>
      <c r="K12" s="229" t="s">
        <v>35</v>
      </c>
      <c r="L12" s="229" t="s">
        <v>36</v>
      </c>
      <c r="M12" s="229" t="s">
        <v>37</v>
      </c>
      <c r="N12" s="229" t="s">
        <v>38</v>
      </c>
      <c r="O12" s="231" t="s">
        <v>5</v>
      </c>
      <c r="P12" s="245" t="s">
        <v>39</v>
      </c>
      <c r="Q12" s="246"/>
      <c r="R12" s="1"/>
      <c r="S12" s="1"/>
      <c r="T12" s="1"/>
      <c r="U12" s="1"/>
      <c r="V12" s="1"/>
    </row>
    <row r="13" spans="1:24" ht="13.5" customHeight="1" thickBot="1" x14ac:dyDescent="0.3">
      <c r="A13" s="1"/>
      <c r="B13" s="187" t="s">
        <v>40</v>
      </c>
      <c r="C13" s="188" t="s">
        <v>41</v>
      </c>
      <c r="D13" s="11" t="s">
        <v>42</v>
      </c>
      <c r="E13" s="11" t="s">
        <v>43</v>
      </c>
      <c r="F13" s="230"/>
      <c r="G13" s="230"/>
      <c r="H13" s="230"/>
      <c r="I13" s="230"/>
      <c r="J13" s="230"/>
      <c r="K13" s="230"/>
      <c r="L13" s="230"/>
      <c r="M13" s="230"/>
      <c r="N13" s="230"/>
      <c r="O13" s="232"/>
      <c r="P13" s="247"/>
      <c r="Q13" s="248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9"/>
      <c r="Q14" s="250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3"/>
      <c r="Q15" s="234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3"/>
      <c r="Q16" s="234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3"/>
      <c r="Q17" s="234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3"/>
      <c r="Q18" s="234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85">
        <v>0.75</v>
      </c>
      <c r="E19" s="186">
        <v>0.25</v>
      </c>
      <c r="F19" s="109">
        <v>1</v>
      </c>
      <c r="G19" s="110">
        <v>1</v>
      </c>
      <c r="H19" s="111"/>
      <c r="I19" s="112"/>
      <c r="J19" s="112"/>
      <c r="K19" s="112"/>
      <c r="L19" s="112">
        <v>3</v>
      </c>
      <c r="M19" s="112"/>
      <c r="N19" s="112">
        <v>5</v>
      </c>
      <c r="O19" s="113"/>
      <c r="P19" s="233"/>
      <c r="Q19" s="234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3"/>
      <c r="Q20" s="234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85">
        <v>0.75</v>
      </c>
      <c r="E21" s="186">
        <v>0.25</v>
      </c>
      <c r="F21" s="109">
        <v>1</v>
      </c>
      <c r="G21" s="110">
        <v>1</v>
      </c>
      <c r="H21" s="111"/>
      <c r="I21" s="112"/>
      <c r="J21" s="112"/>
      <c r="K21" s="112"/>
      <c r="L21" s="112">
        <v>3</v>
      </c>
      <c r="M21" s="112"/>
      <c r="N21" s="112">
        <v>5</v>
      </c>
      <c r="O21" s="113"/>
      <c r="P21" s="233"/>
      <c r="Q21" s="234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85">
        <v>0.75</v>
      </c>
      <c r="E22" s="186">
        <v>0.25</v>
      </c>
      <c r="F22" s="109">
        <v>1</v>
      </c>
      <c r="G22" s="110">
        <v>1</v>
      </c>
      <c r="H22" s="111"/>
      <c r="I22" s="112"/>
      <c r="J22" s="112"/>
      <c r="K22" s="112"/>
      <c r="L22" s="112">
        <v>5</v>
      </c>
      <c r="M22" s="112">
        <v>3</v>
      </c>
      <c r="N22" s="112">
        <v>3</v>
      </c>
      <c r="O22" s="113"/>
      <c r="P22" s="233"/>
      <c r="Q22" s="234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3"/>
      <c r="Q23" s="234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3"/>
      <c r="Q24" s="234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3"/>
      <c r="Q25" s="234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3"/>
      <c r="Q26" s="234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3"/>
      <c r="Q27" s="234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3"/>
      <c r="Q28" s="234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85">
        <v>0.75</v>
      </c>
      <c r="E29" s="186">
        <v>0.25</v>
      </c>
      <c r="F29" s="109">
        <v>1</v>
      </c>
      <c r="G29" s="110">
        <v>1</v>
      </c>
      <c r="H29" s="111"/>
      <c r="I29" s="112"/>
      <c r="J29" s="112"/>
      <c r="K29" s="112"/>
      <c r="L29" s="112"/>
      <c r="M29" s="112">
        <v>2</v>
      </c>
      <c r="N29" s="112">
        <v>8</v>
      </c>
      <c r="O29" s="113"/>
      <c r="P29" s="233"/>
      <c r="Q29" s="234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3"/>
      <c r="Q30" s="234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3"/>
      <c r="Q31" s="234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3"/>
      <c r="Q32" s="234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3"/>
      <c r="Q33" s="234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3"/>
      <c r="Q34" s="234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3"/>
      <c r="Q35" s="234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3"/>
      <c r="Q36" s="234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3"/>
      <c r="Q37" s="234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3"/>
      <c r="Q38" s="234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3"/>
      <c r="Q39" s="234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3"/>
      <c r="Q40" s="234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3"/>
      <c r="Q41" s="234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3"/>
      <c r="Q42" s="234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3"/>
      <c r="Q43" s="234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5"/>
      <c r="Q44" s="236"/>
      <c r="R44" s="1"/>
      <c r="S44" s="1"/>
      <c r="T44" s="1"/>
      <c r="U44" s="1"/>
      <c r="V44" s="1"/>
    </row>
    <row r="45" spans="1:22" s="12" customFormat="1" ht="27.75" customHeight="1" thickBot="1" x14ac:dyDescent="0.3">
      <c r="B45" s="237" t="s">
        <v>44</v>
      </c>
      <c r="C45" s="238"/>
      <c r="D45" s="238"/>
      <c r="E45" s="238"/>
      <c r="F45" s="238"/>
      <c r="G45" s="239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11</v>
      </c>
      <c r="M45" s="123">
        <f t="shared" si="2"/>
        <v>5</v>
      </c>
      <c r="N45" s="123">
        <f t="shared" si="2"/>
        <v>21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0" t="s">
        <v>45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</row>
    <row r="48" spans="1:22" ht="25.5" customHeight="1" x14ac:dyDescent="0.25">
      <c r="A48" s="1"/>
      <c r="B48" s="243" t="s">
        <v>32</v>
      </c>
      <c r="C48" s="244"/>
      <c r="D48" s="244" t="s">
        <v>33</v>
      </c>
      <c r="E48" s="244"/>
      <c r="F48" s="229" t="s">
        <v>2</v>
      </c>
      <c r="G48" s="229" t="s">
        <v>176</v>
      </c>
      <c r="H48" s="229" t="s">
        <v>3</v>
      </c>
      <c r="I48" s="229" t="s">
        <v>4</v>
      </c>
      <c r="J48" s="229" t="s">
        <v>34</v>
      </c>
      <c r="K48" s="229" t="s">
        <v>35</v>
      </c>
      <c r="L48" s="229" t="s">
        <v>36</v>
      </c>
      <c r="M48" s="229" t="s">
        <v>37</v>
      </c>
      <c r="N48" s="229" t="s">
        <v>38</v>
      </c>
      <c r="O48" s="231" t="s">
        <v>5</v>
      </c>
      <c r="P48" s="245" t="s">
        <v>39</v>
      </c>
      <c r="Q48" s="246"/>
      <c r="R48" s="1"/>
      <c r="S48" s="1"/>
      <c r="T48" s="1"/>
      <c r="U48" s="1"/>
      <c r="V48" s="1"/>
    </row>
    <row r="49" spans="1:22" ht="25.5" customHeight="1" thickBot="1" x14ac:dyDescent="0.3">
      <c r="A49" s="1"/>
      <c r="B49" s="187" t="s">
        <v>40</v>
      </c>
      <c r="C49" s="188" t="s">
        <v>41</v>
      </c>
      <c r="D49" s="11" t="s">
        <v>42</v>
      </c>
      <c r="E49" s="11" t="s">
        <v>43</v>
      </c>
      <c r="F49" s="230"/>
      <c r="G49" s="230"/>
      <c r="H49" s="230"/>
      <c r="I49" s="230"/>
      <c r="J49" s="230"/>
      <c r="K49" s="230"/>
      <c r="L49" s="230"/>
      <c r="M49" s="230"/>
      <c r="N49" s="230"/>
      <c r="O49" s="232"/>
      <c r="P49" s="247"/>
      <c r="Q49" s="248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3"/>
      <c r="Q50" s="224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5"/>
      <c r="Q51" s="226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5"/>
      <c r="Q52" s="226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5"/>
      <c r="Q53" s="226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7"/>
      <c r="Q54" s="228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8" t="s">
        <v>12</v>
      </c>
      <c r="C56" s="199"/>
      <c r="D56" s="199"/>
      <c r="E56" s="199"/>
      <c r="F56" s="199"/>
      <c r="G56" s="200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11</v>
      </c>
      <c r="M56" s="80">
        <f t="shared" si="3"/>
        <v>5</v>
      </c>
      <c r="N56" s="80">
        <f t="shared" si="3"/>
        <v>21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1" t="s">
        <v>46</v>
      </c>
      <c r="C58" s="202"/>
      <c r="D58" s="202"/>
      <c r="E58" s="202"/>
      <c r="F58" s="203"/>
      <c r="H58" s="204" t="s">
        <v>47</v>
      </c>
      <c r="I58" s="205"/>
      <c r="J58" s="205"/>
      <c r="K58" s="205"/>
      <c r="L58" s="205"/>
      <c r="M58" s="205"/>
      <c r="N58" s="205"/>
      <c r="O58" s="205"/>
      <c r="P58" s="205"/>
      <c r="Q58" s="206"/>
      <c r="R58" s="5"/>
      <c r="S58" s="5"/>
      <c r="U58" s="1"/>
      <c r="V58" s="1"/>
    </row>
    <row r="59" spans="1:22" s="13" customFormat="1" ht="22.5" customHeight="1" thickBot="1" x14ac:dyDescent="0.3">
      <c r="B59" s="210" t="s">
        <v>48</v>
      </c>
      <c r="C59" s="211"/>
      <c r="D59" s="188" t="s">
        <v>49</v>
      </c>
      <c r="E59" s="188" t="s">
        <v>50</v>
      </c>
      <c r="F59" s="14" t="s">
        <v>51</v>
      </c>
      <c r="H59" s="207"/>
      <c r="I59" s="208"/>
      <c r="J59" s="208"/>
      <c r="K59" s="208"/>
      <c r="L59" s="208"/>
      <c r="M59" s="208"/>
      <c r="N59" s="208"/>
      <c r="O59" s="208"/>
      <c r="P59" s="208"/>
      <c r="Q59" s="209"/>
    </row>
    <row r="60" spans="1:22" ht="17.25" customHeight="1" x14ac:dyDescent="0.25">
      <c r="A60" s="1"/>
      <c r="B60" s="212" t="str">
        <f>+H12</f>
        <v xml:space="preserve"> EXT. DIURNA 1.25</v>
      </c>
      <c r="C60" s="213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4"/>
      <c r="I60" s="215"/>
      <c r="J60" s="215"/>
      <c r="K60" s="215"/>
      <c r="L60" s="215"/>
      <c r="M60" s="215"/>
      <c r="N60" s="215"/>
      <c r="O60" s="215"/>
      <c r="P60" s="215"/>
      <c r="Q60" s="216"/>
      <c r="R60" s="1"/>
      <c r="S60" s="1"/>
      <c r="T60" s="1"/>
      <c r="U60" s="1"/>
      <c r="V60" s="1"/>
    </row>
    <row r="61" spans="1:22" ht="17.25" customHeight="1" x14ac:dyDescent="0.25">
      <c r="A61" s="1"/>
      <c r="B61" s="192" t="str">
        <f>+I12</f>
        <v>EXT. NOC. ORD. 1.75</v>
      </c>
      <c r="C61" s="193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7"/>
      <c r="I61" s="218"/>
      <c r="J61" s="218"/>
      <c r="K61" s="218"/>
      <c r="L61" s="218"/>
      <c r="M61" s="218"/>
      <c r="N61" s="218"/>
      <c r="O61" s="218"/>
      <c r="P61" s="218"/>
      <c r="Q61" s="219"/>
      <c r="R61" s="1"/>
      <c r="S61" s="1"/>
      <c r="T61" s="1"/>
      <c r="U61" s="1"/>
      <c r="V61" s="1"/>
    </row>
    <row r="62" spans="1:22" ht="17.25" customHeight="1" x14ac:dyDescent="0.25">
      <c r="A62" s="1"/>
      <c r="B62" s="192" t="str">
        <f>+J12</f>
        <v>EXTRA DOM./FES. DIU.2.00</v>
      </c>
      <c r="C62" s="193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7"/>
      <c r="I62" s="218"/>
      <c r="J62" s="218"/>
      <c r="K62" s="218"/>
      <c r="L62" s="218"/>
      <c r="M62" s="218"/>
      <c r="N62" s="218"/>
      <c r="O62" s="218"/>
      <c r="P62" s="218"/>
      <c r="Q62" s="219"/>
      <c r="R62" s="1"/>
      <c r="S62" s="1"/>
      <c r="T62" s="1"/>
      <c r="U62" s="1"/>
      <c r="V62" s="1"/>
    </row>
    <row r="63" spans="1:22" ht="17.25" customHeight="1" x14ac:dyDescent="0.25">
      <c r="A63" s="1"/>
      <c r="B63" s="192" t="str">
        <f>+K12</f>
        <v>EXTRA DOM./FES.  NOC. 2.50</v>
      </c>
      <c r="C63" s="193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7"/>
      <c r="I63" s="218"/>
      <c r="J63" s="218"/>
      <c r="K63" s="218"/>
      <c r="L63" s="218"/>
      <c r="M63" s="218"/>
      <c r="N63" s="218"/>
      <c r="O63" s="218"/>
      <c r="P63" s="218"/>
      <c r="Q63" s="219"/>
      <c r="R63" s="1"/>
      <c r="S63" s="1"/>
      <c r="T63" s="1"/>
      <c r="U63" s="1"/>
      <c r="V63" s="1"/>
    </row>
    <row r="64" spans="1:22" ht="17.25" customHeight="1" x14ac:dyDescent="0.25">
      <c r="A64" s="1"/>
      <c r="B64" s="192" t="str">
        <f>+L12</f>
        <v>REC. NOCT ORD.              0.35</v>
      </c>
      <c r="C64" s="193"/>
      <c r="D64" s="88">
        <v>0.35</v>
      </c>
      <c r="E64" s="89">
        <f>+$L$56</f>
        <v>11</v>
      </c>
      <c r="F64" s="87">
        <f>IF(E64=0,"",D64*E64*(VLOOKUP($E$8,'BD Personal'!$A$6:$R$64,12,FALSE)/240))</f>
        <v>44689.837499999994</v>
      </c>
      <c r="G64" s="1"/>
      <c r="H64" s="217"/>
      <c r="I64" s="218"/>
      <c r="J64" s="218"/>
      <c r="K64" s="218"/>
      <c r="L64" s="218"/>
      <c r="M64" s="218"/>
      <c r="N64" s="218"/>
      <c r="O64" s="218"/>
      <c r="P64" s="218"/>
      <c r="Q64" s="219"/>
      <c r="R64" s="1"/>
      <c r="S64" s="1"/>
      <c r="T64" s="1"/>
      <c r="U64" s="1"/>
      <c r="V64" s="1"/>
    </row>
    <row r="65" spans="1:22" ht="17.25" customHeight="1" x14ac:dyDescent="0.25">
      <c r="A65" s="1"/>
      <c r="B65" s="192" t="str">
        <f>+M12</f>
        <v xml:space="preserve">REC, DOM / FESTIVA DIU 1.75 </v>
      </c>
      <c r="C65" s="193"/>
      <c r="D65" s="88">
        <v>1.75</v>
      </c>
      <c r="E65" s="89">
        <f>+$M$56</f>
        <v>5</v>
      </c>
      <c r="F65" s="87">
        <f>IF(E65=0,"",D65*E65*(VLOOKUP($E$8,'BD Personal'!$A$6:$R$64,12,FALSE)/240))</f>
        <v>101567.8125</v>
      </c>
      <c r="G65" s="1"/>
      <c r="H65" s="217"/>
      <c r="I65" s="218"/>
      <c r="J65" s="218"/>
      <c r="K65" s="218"/>
      <c r="L65" s="218"/>
      <c r="M65" s="218"/>
      <c r="N65" s="218"/>
      <c r="O65" s="218"/>
      <c r="P65" s="218"/>
      <c r="Q65" s="219"/>
      <c r="R65" s="1"/>
      <c r="S65" s="1"/>
      <c r="T65" s="1"/>
      <c r="U65" s="1"/>
      <c r="V65" s="1"/>
    </row>
    <row r="66" spans="1:22" ht="17.25" customHeight="1" x14ac:dyDescent="0.25">
      <c r="A66" s="1"/>
      <c r="B66" s="192" t="str">
        <f>+N12</f>
        <v>REC. DOM. / FES. NOC.  2.10</v>
      </c>
      <c r="C66" s="193"/>
      <c r="D66" s="88">
        <v>2.1</v>
      </c>
      <c r="E66" s="89">
        <f>+$N$56</f>
        <v>21</v>
      </c>
      <c r="F66" s="87">
        <f>IF(E66=0,"",D66*E66*(VLOOKUP($E$8,'BD Personal'!$A$6:$R$64,12,FALSE)/240))</f>
        <v>511901.77500000002</v>
      </c>
      <c r="G66" s="1"/>
      <c r="H66" s="217"/>
      <c r="I66" s="218"/>
      <c r="J66" s="218"/>
      <c r="K66" s="218"/>
      <c r="L66" s="218"/>
      <c r="M66" s="218"/>
      <c r="N66" s="218"/>
      <c r="O66" s="218"/>
      <c r="P66" s="218"/>
      <c r="Q66" s="219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4" t="str">
        <f>+O12</f>
        <v>COMPENSATORIOS</v>
      </c>
      <c r="C67" s="195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7"/>
      <c r="I67" s="218"/>
      <c r="J67" s="218"/>
      <c r="K67" s="218"/>
      <c r="L67" s="218"/>
      <c r="M67" s="218"/>
      <c r="N67" s="218"/>
      <c r="O67" s="218"/>
      <c r="P67" s="218"/>
      <c r="Q67" s="219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7"/>
      <c r="I68" s="218"/>
      <c r="J68" s="218"/>
      <c r="K68" s="218"/>
      <c r="L68" s="218"/>
      <c r="M68" s="218"/>
      <c r="N68" s="218"/>
      <c r="O68" s="218"/>
      <c r="P68" s="218"/>
      <c r="Q68" s="219"/>
      <c r="R68" s="1"/>
      <c r="S68" s="1"/>
      <c r="T68" s="1"/>
      <c r="U68" s="1"/>
      <c r="V68" s="1"/>
    </row>
    <row r="69" spans="1:22" ht="18" customHeight="1" thickBot="1" x14ac:dyDescent="0.3">
      <c r="A69" s="1"/>
      <c r="B69" s="196" t="s">
        <v>53</v>
      </c>
      <c r="C69" s="196"/>
      <c r="D69" s="196"/>
      <c r="E69" s="196"/>
      <c r="F69" s="95">
        <f>SUM(F60:F67)</f>
        <v>658159.42500000005</v>
      </c>
      <c r="G69" s="1"/>
      <c r="H69" s="220"/>
      <c r="I69" s="221"/>
      <c r="J69" s="221"/>
      <c r="K69" s="221"/>
      <c r="L69" s="221"/>
      <c r="M69" s="221"/>
      <c r="N69" s="221"/>
      <c r="O69" s="221"/>
      <c r="P69" s="221"/>
      <c r="Q69" s="22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7"/>
      <c r="D76" s="197"/>
      <c r="E76" s="197"/>
      <c r="F76" s="197"/>
      <c r="G76" s="197"/>
      <c r="H76" s="197"/>
      <c r="I76" s="197"/>
      <c r="L76" s="197"/>
      <c r="M76" s="197"/>
      <c r="N76" s="197"/>
      <c r="O76" s="197"/>
      <c r="P76" s="197"/>
    </row>
    <row r="77" spans="1:22" ht="30.75" customHeight="1" thickTop="1" x14ac:dyDescent="0.25">
      <c r="C77" s="191" t="s">
        <v>54</v>
      </c>
      <c r="D77" s="191"/>
      <c r="E77" s="191"/>
      <c r="F77" s="191"/>
      <c r="G77" s="191"/>
      <c r="H77" s="191"/>
      <c r="I77" s="191"/>
      <c r="J77" s="16"/>
      <c r="K77" s="16"/>
      <c r="L77" s="191" t="s">
        <v>55</v>
      </c>
      <c r="M77" s="191"/>
      <c r="N77" s="191"/>
      <c r="O77" s="191"/>
      <c r="P77" s="191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objects="1" scenarios="1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  <mergeCell ref="U8:W8"/>
  </mergeCells>
  <conditionalFormatting sqref="B14:B44">
    <cfRule type="expression" dxfId="7" priority="4">
      <formula>WEEKDAY(B14,2)=7</formula>
    </cfRule>
  </conditionalFormatting>
  <conditionalFormatting sqref="C14:C44">
    <cfRule type="expression" dxfId="6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120284B-9DB7-46AD-88F7-9E7A2CCDE3E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9E26C17-886C-4F47-B69A-C5290FF4B51F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05625-81EC-44EF-9E4F-97E1F55C3A16}">
  <sheetPr codeName="Hoja8">
    <pageSetUpPr fitToPage="1"/>
  </sheetPr>
  <dimension ref="A1:X79"/>
  <sheetViews>
    <sheetView showGridLines="0" tabSelected="1" view="pageBreakPreview" topLeftCell="A7" zoomScale="70" zoomScaleNormal="70" zoomScaleSheetLayoutView="70" zoomScalePageLayoutView="90" workbookViewId="0">
      <selection activeCell="H22" sqref="H22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>01/06/2000</v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6" t="s">
        <v>16</v>
      </c>
      <c r="C2" s="267"/>
      <c r="D2" s="268"/>
      <c r="E2" s="275" t="s">
        <v>17</v>
      </c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7"/>
      <c r="R2" s="1"/>
      <c r="S2" s="3"/>
      <c r="T2" s="3"/>
      <c r="U2" s="3"/>
      <c r="V2" s="1"/>
    </row>
    <row r="3" spans="1:24" ht="15.75" customHeight="1" x14ac:dyDescent="0.25">
      <c r="A3" s="1"/>
      <c r="B3" s="269"/>
      <c r="C3" s="270"/>
      <c r="D3" s="271"/>
      <c r="E3" s="278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80"/>
      <c r="R3" s="1"/>
      <c r="S3" s="4"/>
      <c r="T3" s="1"/>
      <c r="U3" s="1"/>
      <c r="V3" s="1"/>
    </row>
    <row r="4" spans="1:24" ht="15.75" customHeight="1" x14ac:dyDescent="0.25">
      <c r="A4" s="1"/>
      <c r="B4" s="269"/>
      <c r="C4" s="270"/>
      <c r="D4" s="271"/>
      <c r="E4" s="278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80"/>
      <c r="R4" s="1"/>
      <c r="S4" s="4"/>
      <c r="T4" s="1"/>
      <c r="U4" s="1"/>
      <c r="V4" s="1"/>
    </row>
    <row r="5" spans="1:24" ht="15.75" customHeight="1" thickBot="1" x14ac:dyDescent="0.3">
      <c r="A5" s="1"/>
      <c r="B5" s="272"/>
      <c r="C5" s="273"/>
      <c r="D5" s="274"/>
      <c r="E5" s="281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3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2" t="s">
        <v>18</v>
      </c>
      <c r="D7" s="252"/>
      <c r="E7" s="258" t="str">
        <f>IF($E$8="","",VLOOKUP($E$8,'BD Personal'!$A$6:$R$64,3,FALSE))&amp;" "&amp;IF($E$8="","",VLOOKUP($E$8,'BD Personal'!$A$6:$R$64,4,FALSE))</f>
        <v>pollo perez</v>
      </c>
      <c r="F7" s="258"/>
      <c r="G7" s="258"/>
      <c r="H7" s="258"/>
      <c r="I7" s="252" t="s">
        <v>19</v>
      </c>
      <c r="J7" s="252"/>
      <c r="K7" s="258" t="str">
        <f>IF($E$8="","",VLOOKUP($E$8,'BD Personal'!$A$6:$R$64,2,FALSE))</f>
        <v>Femenino</v>
      </c>
      <c r="L7" s="258"/>
      <c r="M7" s="258"/>
      <c r="N7" s="252" t="s">
        <v>20</v>
      </c>
      <c r="O7" s="252"/>
      <c r="P7" s="284">
        <f ca="1">IF($E$8="","",TODAY()-VLOOKUP($E$8,'BD Personal'!$A$6:$R$64,8,FALSE))</f>
        <v>7343</v>
      </c>
      <c r="Q7" s="285"/>
      <c r="S7" s="4"/>
    </row>
    <row r="8" spans="1:24" ht="26.1" customHeight="1" x14ac:dyDescent="0.25">
      <c r="B8" s="130"/>
      <c r="C8" s="252" t="s">
        <v>21</v>
      </c>
      <c r="D8" s="252"/>
      <c r="E8" s="263">
        <v>9897000</v>
      </c>
      <c r="F8" s="263"/>
      <c r="G8" s="263"/>
      <c r="H8" s="263"/>
      <c r="I8" s="252" t="s">
        <v>22</v>
      </c>
      <c r="J8" s="252"/>
      <c r="K8" s="258" t="str">
        <f>IF($E$8="","",VLOOKUP($E$8,'BD Personal'!$A$6:$R$64,11,FALSE))</f>
        <v>Finanzas</v>
      </c>
      <c r="L8" s="258"/>
      <c r="M8" s="258"/>
      <c r="N8" s="252" t="s">
        <v>23</v>
      </c>
      <c r="O8" s="252"/>
      <c r="P8" s="264" t="str">
        <f>IF($E$8="","",VLOOKUP($E$8,'BD Personal'!$A$6:$R$64,10,FALSE))</f>
        <v>04/06/2020</v>
      </c>
      <c r="Q8" s="265"/>
      <c r="S8" s="4"/>
      <c r="T8" s="6"/>
      <c r="U8" s="286"/>
      <c r="V8" s="286"/>
      <c r="W8" s="286"/>
      <c r="X8" s="2"/>
    </row>
    <row r="9" spans="1:24" ht="26.1" customHeight="1" x14ac:dyDescent="0.2">
      <c r="B9" s="130"/>
      <c r="C9" s="252" t="s">
        <v>24</v>
      </c>
      <c r="D9" s="252"/>
      <c r="E9" s="258" t="str">
        <f>IF($E$8="","",VLOOKUP($E$8,'BD Personal'!$A$6:$R$64,13,FALSE))</f>
        <v>Legal</v>
      </c>
      <c r="F9" s="258"/>
      <c r="G9" s="258"/>
      <c r="H9" s="258"/>
      <c r="I9" s="252" t="s">
        <v>25</v>
      </c>
      <c r="J9" s="252"/>
      <c r="K9" s="258" t="str">
        <f>IF($E$8="","",VLOOKUP($E$8,'BD Personal'!$A$6:$R$64,14,FALSE))</f>
        <v>5 X 2 8 Horas</v>
      </c>
      <c r="L9" s="258"/>
      <c r="M9" s="258"/>
      <c r="N9" s="261" t="s">
        <v>26</v>
      </c>
      <c r="O9" s="261"/>
      <c r="P9" s="259"/>
      <c r="Q9" s="260"/>
      <c r="S9" s="4"/>
      <c r="T9" s="7"/>
      <c r="U9" s="7"/>
      <c r="V9" s="262"/>
      <c r="W9" s="262"/>
      <c r="X9" s="262"/>
    </row>
    <row r="10" spans="1:24" ht="26.1" customHeight="1" x14ac:dyDescent="0.25">
      <c r="B10" s="130"/>
      <c r="C10" s="252" t="s">
        <v>27</v>
      </c>
      <c r="D10" s="252"/>
      <c r="E10" s="257" t="str">
        <f>IF($E$8="","",VLOOKUP($E$8,'BD Personal'!$A$6:$R$64,15,FALSE))</f>
        <v>Caleb Brett</v>
      </c>
      <c r="F10" s="257"/>
      <c r="G10" s="257"/>
      <c r="H10" s="257"/>
      <c r="I10" s="252" t="s">
        <v>28</v>
      </c>
      <c r="J10" s="252"/>
      <c r="K10" s="258" t="str">
        <f>IF($E$8="","",VLOOKUP($E$8,'BD Personal'!$A$6:$R$64,17,FALSE))</f>
        <v>001</v>
      </c>
      <c r="L10" s="258"/>
      <c r="M10" s="258"/>
      <c r="N10" s="252" t="s">
        <v>29</v>
      </c>
      <c r="O10" s="252"/>
      <c r="P10" s="259" t="str">
        <f>IF($E$8="","",VLOOKUP($E$8,'BD Personal'!$A$6:$R$64,18,FALSE))</f>
        <v>1</v>
      </c>
      <c r="Q10" s="260"/>
      <c r="S10" s="4"/>
      <c r="T10" s="8"/>
      <c r="U10" s="251"/>
      <c r="V10" s="251"/>
      <c r="W10" s="251"/>
      <c r="X10" s="2"/>
    </row>
    <row r="11" spans="1:24" ht="26.1" customHeight="1" thickBot="1" x14ac:dyDescent="0.25">
      <c r="B11" s="130"/>
      <c r="C11" s="252" t="s">
        <v>30</v>
      </c>
      <c r="D11" s="252"/>
      <c r="E11" s="253" t="str">
        <f>IF($E$8="","",VLOOKUP($E$8,'BD Personal'!$A$6:$R$64,16,FALSE))</f>
        <v>Calle 127 - Bogota</v>
      </c>
      <c r="F11" s="253"/>
      <c r="G11" s="253"/>
      <c r="H11" s="253"/>
      <c r="I11" s="254" t="s">
        <v>31</v>
      </c>
      <c r="J11" s="254"/>
      <c r="K11" s="255" t="str">
        <f>Cronograma!B6</f>
        <v>AGOSTO</v>
      </c>
      <c r="L11" s="255"/>
      <c r="M11" s="255"/>
      <c r="N11" s="131"/>
      <c r="O11" s="132"/>
      <c r="P11" s="133"/>
      <c r="Q11" s="134"/>
      <c r="S11" s="4"/>
      <c r="T11" s="7"/>
      <c r="U11" s="2"/>
      <c r="V11" s="256"/>
      <c r="W11" s="256"/>
      <c r="X11" s="256"/>
    </row>
    <row r="12" spans="1:24" ht="27.75" customHeight="1" x14ac:dyDescent="0.25">
      <c r="A12" s="1"/>
      <c r="B12" s="243" t="s">
        <v>32</v>
      </c>
      <c r="C12" s="244"/>
      <c r="D12" s="244" t="s">
        <v>33</v>
      </c>
      <c r="E12" s="244"/>
      <c r="F12" s="229" t="s">
        <v>2</v>
      </c>
      <c r="G12" s="229" t="s">
        <v>176</v>
      </c>
      <c r="H12" s="229" t="s">
        <v>3</v>
      </c>
      <c r="I12" s="229" t="s">
        <v>4</v>
      </c>
      <c r="J12" s="229" t="s">
        <v>34</v>
      </c>
      <c r="K12" s="229" t="s">
        <v>35</v>
      </c>
      <c r="L12" s="229" t="s">
        <v>36</v>
      </c>
      <c r="M12" s="229" t="s">
        <v>37</v>
      </c>
      <c r="N12" s="229" t="s">
        <v>38</v>
      </c>
      <c r="O12" s="231" t="s">
        <v>5</v>
      </c>
      <c r="P12" s="245" t="s">
        <v>39</v>
      </c>
      <c r="Q12" s="246"/>
      <c r="R12" s="1"/>
      <c r="S12" s="1"/>
      <c r="T12" s="1"/>
      <c r="U12" s="1"/>
      <c r="V12" s="1"/>
    </row>
    <row r="13" spans="1:24" ht="13.5" customHeight="1" thickBot="1" x14ac:dyDescent="0.3">
      <c r="A13" s="1"/>
      <c r="B13" s="189" t="s">
        <v>40</v>
      </c>
      <c r="C13" s="190" t="s">
        <v>41</v>
      </c>
      <c r="D13" s="11" t="s">
        <v>42</v>
      </c>
      <c r="E13" s="11" t="s">
        <v>43</v>
      </c>
      <c r="F13" s="230"/>
      <c r="G13" s="230"/>
      <c r="H13" s="230"/>
      <c r="I13" s="230"/>
      <c r="J13" s="230"/>
      <c r="K13" s="230"/>
      <c r="L13" s="230"/>
      <c r="M13" s="230"/>
      <c r="N13" s="230"/>
      <c r="O13" s="232"/>
      <c r="P13" s="247"/>
      <c r="Q13" s="248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9"/>
      <c r="Q14" s="250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3"/>
      <c r="Q15" s="234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3"/>
      <c r="Q16" s="234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3"/>
      <c r="Q17" s="234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3"/>
      <c r="Q18" s="234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3"/>
      <c r="Q19" s="234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3"/>
      <c r="Q20" s="234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85">
        <v>0.75</v>
      </c>
      <c r="E21" s="186">
        <v>9.375E-2</v>
      </c>
      <c r="F21" s="109"/>
      <c r="G21" s="110"/>
      <c r="H21" s="111">
        <v>3</v>
      </c>
      <c r="I21" s="112">
        <v>3</v>
      </c>
      <c r="J21" s="112"/>
      <c r="K21" s="112">
        <v>2.25</v>
      </c>
      <c r="L21" s="112"/>
      <c r="M21" s="112"/>
      <c r="N21" s="112"/>
      <c r="O21" s="113"/>
      <c r="P21" s="233"/>
      <c r="Q21" s="234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3"/>
      <c r="Q22" s="234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3"/>
      <c r="Q23" s="234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3"/>
      <c r="Q24" s="234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3"/>
      <c r="Q25" s="234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3"/>
      <c r="Q26" s="234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3"/>
      <c r="Q27" s="234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85"/>
      <c r="E28" s="186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3"/>
      <c r="Q28" s="234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3"/>
      <c r="Q29" s="234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3"/>
      <c r="Q30" s="234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3"/>
      <c r="Q31" s="234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3"/>
      <c r="Q32" s="234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3"/>
      <c r="Q33" s="234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3"/>
      <c r="Q34" s="234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3"/>
      <c r="Q35" s="234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3"/>
      <c r="Q36" s="234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3"/>
      <c r="Q37" s="234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3"/>
      <c r="Q38" s="234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3"/>
      <c r="Q39" s="234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3"/>
      <c r="Q40" s="234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3"/>
      <c r="Q41" s="234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3"/>
      <c r="Q42" s="234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3"/>
      <c r="Q43" s="234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5"/>
      <c r="Q44" s="236"/>
      <c r="R44" s="1"/>
      <c r="S44" s="1"/>
      <c r="T44" s="1"/>
      <c r="U44" s="1"/>
      <c r="V44" s="1"/>
    </row>
    <row r="45" spans="1:22" s="12" customFormat="1" ht="27.75" customHeight="1" thickBot="1" x14ac:dyDescent="0.3">
      <c r="B45" s="237" t="s">
        <v>44</v>
      </c>
      <c r="C45" s="238"/>
      <c r="D45" s="238"/>
      <c r="E45" s="238"/>
      <c r="F45" s="238"/>
      <c r="G45" s="239"/>
      <c r="H45" s="122">
        <f>SUM(H14:H44)</f>
        <v>3</v>
      </c>
      <c r="I45" s="123">
        <f t="shared" ref="I45:O45" si="2">SUM(I14:I44)</f>
        <v>3</v>
      </c>
      <c r="J45" s="123">
        <f t="shared" si="2"/>
        <v>0</v>
      </c>
      <c r="K45" s="123">
        <f t="shared" si="2"/>
        <v>2.25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0" t="s">
        <v>45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</row>
    <row r="48" spans="1:22" ht="25.5" customHeight="1" x14ac:dyDescent="0.25">
      <c r="A48" s="1"/>
      <c r="B48" s="243" t="s">
        <v>32</v>
      </c>
      <c r="C48" s="244"/>
      <c r="D48" s="244" t="s">
        <v>33</v>
      </c>
      <c r="E48" s="244"/>
      <c r="F48" s="229" t="s">
        <v>2</v>
      </c>
      <c r="G48" s="229" t="s">
        <v>176</v>
      </c>
      <c r="H48" s="229" t="s">
        <v>3</v>
      </c>
      <c r="I48" s="229" t="s">
        <v>4</v>
      </c>
      <c r="J48" s="229" t="s">
        <v>34</v>
      </c>
      <c r="K48" s="229" t="s">
        <v>35</v>
      </c>
      <c r="L48" s="229" t="s">
        <v>36</v>
      </c>
      <c r="M48" s="229" t="s">
        <v>37</v>
      </c>
      <c r="N48" s="229" t="s">
        <v>38</v>
      </c>
      <c r="O48" s="231" t="s">
        <v>5</v>
      </c>
      <c r="P48" s="245" t="s">
        <v>39</v>
      </c>
      <c r="Q48" s="246"/>
      <c r="R48" s="1"/>
      <c r="S48" s="1"/>
      <c r="T48" s="1"/>
      <c r="U48" s="1"/>
      <c r="V48" s="1"/>
    </row>
    <row r="49" spans="1:22" ht="25.5" customHeight="1" thickBot="1" x14ac:dyDescent="0.3">
      <c r="A49" s="1"/>
      <c r="B49" s="189" t="s">
        <v>40</v>
      </c>
      <c r="C49" s="190" t="s">
        <v>41</v>
      </c>
      <c r="D49" s="11" t="s">
        <v>42</v>
      </c>
      <c r="E49" s="11" t="s">
        <v>43</v>
      </c>
      <c r="F49" s="230"/>
      <c r="G49" s="230"/>
      <c r="H49" s="230"/>
      <c r="I49" s="230"/>
      <c r="J49" s="230"/>
      <c r="K49" s="230"/>
      <c r="L49" s="230"/>
      <c r="M49" s="230"/>
      <c r="N49" s="230"/>
      <c r="O49" s="232"/>
      <c r="P49" s="247"/>
      <c r="Q49" s="248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3"/>
      <c r="Q50" s="224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5"/>
      <c r="Q51" s="226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5"/>
      <c r="Q52" s="226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5"/>
      <c r="Q53" s="226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7"/>
      <c r="Q54" s="228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8" t="s">
        <v>12</v>
      </c>
      <c r="C56" s="199"/>
      <c r="D56" s="199"/>
      <c r="E56" s="199"/>
      <c r="F56" s="199"/>
      <c r="G56" s="200"/>
      <c r="H56" s="80">
        <f>+H45+H50+H51+H52+H53+H54</f>
        <v>3</v>
      </c>
      <c r="I56" s="80">
        <f t="shared" ref="I56:O56" si="3">+I45+I50+I51+I52+I53+I54</f>
        <v>3</v>
      </c>
      <c r="J56" s="80">
        <f t="shared" si="3"/>
        <v>0</v>
      </c>
      <c r="K56" s="80">
        <f t="shared" si="3"/>
        <v>2.25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1" t="s">
        <v>46</v>
      </c>
      <c r="C58" s="202"/>
      <c r="D58" s="202"/>
      <c r="E58" s="202"/>
      <c r="F58" s="203"/>
      <c r="H58" s="204" t="s">
        <v>47</v>
      </c>
      <c r="I58" s="205"/>
      <c r="J58" s="205"/>
      <c r="K58" s="205"/>
      <c r="L58" s="205"/>
      <c r="M58" s="205"/>
      <c r="N58" s="205"/>
      <c r="O58" s="205"/>
      <c r="P58" s="205"/>
      <c r="Q58" s="206"/>
      <c r="R58" s="5"/>
      <c r="S58" s="5"/>
      <c r="U58" s="1"/>
      <c r="V58" s="1"/>
    </row>
    <row r="59" spans="1:22" s="13" customFormat="1" ht="22.5" customHeight="1" thickBot="1" x14ac:dyDescent="0.3">
      <c r="B59" s="210" t="s">
        <v>48</v>
      </c>
      <c r="C59" s="211"/>
      <c r="D59" s="190" t="s">
        <v>49</v>
      </c>
      <c r="E59" s="190" t="s">
        <v>50</v>
      </c>
      <c r="F59" s="14" t="s">
        <v>51</v>
      </c>
      <c r="H59" s="207"/>
      <c r="I59" s="208"/>
      <c r="J59" s="208"/>
      <c r="K59" s="208"/>
      <c r="L59" s="208"/>
      <c r="M59" s="208"/>
      <c r="N59" s="208"/>
      <c r="O59" s="208"/>
      <c r="P59" s="208"/>
      <c r="Q59" s="209"/>
    </row>
    <row r="60" spans="1:22" ht="17.25" customHeight="1" x14ac:dyDescent="0.25">
      <c r="A60" s="1"/>
      <c r="B60" s="212" t="str">
        <f>+H12</f>
        <v xml:space="preserve"> EXT. DIURNA 1.25</v>
      </c>
      <c r="C60" s="213"/>
      <c r="D60" s="85">
        <v>1.25</v>
      </c>
      <c r="E60" s="86">
        <f>+$H$56</f>
        <v>3</v>
      </c>
      <c r="F60" s="87">
        <f>IF(E60=0,"",D60*E60*(VLOOKUP($E$8,'BD Personal'!$A$6:$R$64,12,FALSE)/240))</f>
        <v>28125</v>
      </c>
      <c r="G60" s="1"/>
      <c r="H60" s="214"/>
      <c r="I60" s="215"/>
      <c r="J60" s="215"/>
      <c r="K60" s="215"/>
      <c r="L60" s="215"/>
      <c r="M60" s="215"/>
      <c r="N60" s="215"/>
      <c r="O60" s="215"/>
      <c r="P60" s="215"/>
      <c r="Q60" s="216"/>
      <c r="R60" s="1"/>
      <c r="S60" s="1"/>
      <c r="T60" s="1"/>
      <c r="U60" s="1"/>
      <c r="V60" s="1"/>
    </row>
    <row r="61" spans="1:22" ht="17.25" customHeight="1" x14ac:dyDescent="0.25">
      <c r="A61" s="1"/>
      <c r="B61" s="192" t="str">
        <f>+I12</f>
        <v>EXT. NOC. ORD. 1.75</v>
      </c>
      <c r="C61" s="193"/>
      <c r="D61" s="88">
        <v>1.75</v>
      </c>
      <c r="E61" s="89">
        <f>+$I$56</f>
        <v>3</v>
      </c>
      <c r="F61" s="87">
        <f>IF(E61=0,"",D61*E61*(VLOOKUP($E$8,'BD Personal'!$A$6:$R$64,12,FALSE)/240))</f>
        <v>39375</v>
      </c>
      <c r="G61" s="1"/>
      <c r="H61" s="217"/>
      <c r="I61" s="218"/>
      <c r="J61" s="218"/>
      <c r="K61" s="218"/>
      <c r="L61" s="218"/>
      <c r="M61" s="218"/>
      <c r="N61" s="218"/>
      <c r="O61" s="218"/>
      <c r="P61" s="218"/>
      <c r="Q61" s="219"/>
      <c r="R61" s="1"/>
      <c r="S61" s="1"/>
      <c r="T61" s="1"/>
      <c r="U61" s="1"/>
      <c r="V61" s="1"/>
    </row>
    <row r="62" spans="1:22" ht="17.25" customHeight="1" x14ac:dyDescent="0.25">
      <c r="A62" s="1"/>
      <c r="B62" s="192" t="str">
        <f>+J12</f>
        <v>EXTRA DOM./FES. DIU.2.00</v>
      </c>
      <c r="C62" s="193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7"/>
      <c r="I62" s="218"/>
      <c r="J62" s="218"/>
      <c r="K62" s="218"/>
      <c r="L62" s="218"/>
      <c r="M62" s="218"/>
      <c r="N62" s="218"/>
      <c r="O62" s="218"/>
      <c r="P62" s="218"/>
      <c r="Q62" s="219"/>
      <c r="R62" s="1"/>
      <c r="S62" s="1"/>
      <c r="T62" s="1"/>
      <c r="U62" s="1"/>
      <c r="V62" s="1"/>
    </row>
    <row r="63" spans="1:22" ht="17.25" customHeight="1" x14ac:dyDescent="0.25">
      <c r="A63" s="1"/>
      <c r="B63" s="192" t="str">
        <f>+K12</f>
        <v>EXTRA DOM./FES.  NOC. 2.50</v>
      </c>
      <c r="C63" s="193"/>
      <c r="D63" s="88">
        <v>2.5</v>
      </c>
      <c r="E63" s="89">
        <f>+$K$56</f>
        <v>2.25</v>
      </c>
      <c r="F63" s="87">
        <f>IF(E63=0,"",D63*E63*(VLOOKUP($E$8,'BD Personal'!$A$6:$R$64,12,FALSE)/240))</f>
        <v>42187.5</v>
      </c>
      <c r="G63" s="1"/>
      <c r="H63" s="217"/>
      <c r="I63" s="218"/>
      <c r="J63" s="218"/>
      <c r="K63" s="218"/>
      <c r="L63" s="218"/>
      <c r="M63" s="218"/>
      <c r="N63" s="218"/>
      <c r="O63" s="218"/>
      <c r="P63" s="218"/>
      <c r="Q63" s="219"/>
      <c r="R63" s="1"/>
      <c r="S63" s="1"/>
      <c r="T63" s="1"/>
      <c r="U63" s="1"/>
      <c r="V63" s="1"/>
    </row>
    <row r="64" spans="1:22" ht="17.25" customHeight="1" x14ac:dyDescent="0.25">
      <c r="A64" s="1"/>
      <c r="B64" s="192" t="str">
        <f>+L12</f>
        <v>REC. NOCT ORD.              0.35</v>
      </c>
      <c r="C64" s="193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7"/>
      <c r="I64" s="218"/>
      <c r="J64" s="218"/>
      <c r="K64" s="218"/>
      <c r="L64" s="218"/>
      <c r="M64" s="218"/>
      <c r="N64" s="218"/>
      <c r="O64" s="218"/>
      <c r="P64" s="218"/>
      <c r="Q64" s="219"/>
      <c r="R64" s="1"/>
      <c r="S64" s="1"/>
      <c r="T64" s="1"/>
      <c r="U64" s="1"/>
      <c r="V64" s="1"/>
    </row>
    <row r="65" spans="1:22" ht="17.25" customHeight="1" x14ac:dyDescent="0.25">
      <c r="A65" s="1"/>
      <c r="B65" s="192" t="str">
        <f>+M12</f>
        <v xml:space="preserve">REC, DOM / FESTIVA DIU 1.75 </v>
      </c>
      <c r="C65" s="193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7"/>
      <c r="I65" s="218"/>
      <c r="J65" s="218"/>
      <c r="K65" s="218"/>
      <c r="L65" s="218"/>
      <c r="M65" s="218"/>
      <c r="N65" s="218"/>
      <c r="O65" s="218"/>
      <c r="P65" s="218"/>
      <c r="Q65" s="219"/>
      <c r="R65" s="1"/>
      <c r="S65" s="1"/>
      <c r="T65" s="1"/>
      <c r="U65" s="1"/>
      <c r="V65" s="1"/>
    </row>
    <row r="66" spans="1:22" ht="17.25" customHeight="1" x14ac:dyDescent="0.25">
      <c r="A66" s="1"/>
      <c r="B66" s="192" t="str">
        <f>+N12</f>
        <v>REC. DOM. / FES. NOC.  2.10</v>
      </c>
      <c r="C66" s="193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7"/>
      <c r="I66" s="218"/>
      <c r="J66" s="218"/>
      <c r="K66" s="218"/>
      <c r="L66" s="218"/>
      <c r="M66" s="218"/>
      <c r="N66" s="218"/>
      <c r="O66" s="218"/>
      <c r="P66" s="218"/>
      <c r="Q66" s="219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4" t="str">
        <f>+O12</f>
        <v>COMPENSATORIOS</v>
      </c>
      <c r="C67" s="195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7"/>
      <c r="I67" s="218"/>
      <c r="J67" s="218"/>
      <c r="K67" s="218"/>
      <c r="L67" s="218"/>
      <c r="M67" s="218"/>
      <c r="N67" s="218"/>
      <c r="O67" s="218"/>
      <c r="P67" s="218"/>
      <c r="Q67" s="219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7"/>
      <c r="I68" s="218"/>
      <c r="J68" s="218"/>
      <c r="K68" s="218"/>
      <c r="L68" s="218"/>
      <c r="M68" s="218"/>
      <c r="N68" s="218"/>
      <c r="O68" s="218"/>
      <c r="P68" s="218"/>
      <c r="Q68" s="219"/>
      <c r="R68" s="1"/>
      <c r="S68" s="1"/>
      <c r="T68" s="1"/>
      <c r="U68" s="1"/>
      <c r="V68" s="1"/>
    </row>
    <row r="69" spans="1:22" ht="18" customHeight="1" thickBot="1" x14ac:dyDescent="0.3">
      <c r="A69" s="1"/>
      <c r="B69" s="196" t="s">
        <v>53</v>
      </c>
      <c r="C69" s="196"/>
      <c r="D69" s="196"/>
      <c r="E69" s="196"/>
      <c r="F69" s="95">
        <f>SUM(F60:F67)</f>
        <v>109687.5</v>
      </c>
      <c r="G69" s="1"/>
      <c r="H69" s="220"/>
      <c r="I69" s="221"/>
      <c r="J69" s="221"/>
      <c r="K69" s="221"/>
      <c r="L69" s="221"/>
      <c r="M69" s="221"/>
      <c r="N69" s="221"/>
      <c r="O69" s="221"/>
      <c r="P69" s="221"/>
      <c r="Q69" s="22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7"/>
      <c r="D76" s="197"/>
      <c r="E76" s="197"/>
      <c r="F76" s="197"/>
      <c r="G76" s="197"/>
      <c r="H76" s="197"/>
      <c r="I76" s="197"/>
      <c r="L76" s="197"/>
      <c r="M76" s="197"/>
      <c r="N76" s="197"/>
      <c r="O76" s="197"/>
      <c r="P76" s="197"/>
    </row>
    <row r="77" spans="1:22" ht="30.75" customHeight="1" thickTop="1" x14ac:dyDescent="0.25">
      <c r="C77" s="191" t="s">
        <v>54</v>
      </c>
      <c r="D77" s="191"/>
      <c r="E77" s="191"/>
      <c r="F77" s="191"/>
      <c r="G77" s="191"/>
      <c r="H77" s="191"/>
      <c r="I77" s="191"/>
      <c r="J77" s="16"/>
      <c r="K77" s="16"/>
      <c r="L77" s="191" t="s">
        <v>55</v>
      </c>
      <c r="M77" s="191"/>
      <c r="N77" s="191"/>
      <c r="O77" s="191"/>
      <c r="P77" s="191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objects="1" scenarios="1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  <mergeCell ref="U8:W8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D17A3E9-2711-4D53-B01E-1FDFA856EF8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AE75D6C5-152B-4BCE-9324-ABCF94E02764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9</vt:i4>
      </vt:variant>
    </vt:vector>
  </HeadingPairs>
  <TitlesOfParts>
    <vt:vector size="17" baseType="lpstr">
      <vt:lpstr>Plantilla</vt:lpstr>
      <vt:lpstr>PlantillaProasem</vt:lpstr>
      <vt:lpstr>BD</vt:lpstr>
      <vt:lpstr>Planilla Consolidada</vt:lpstr>
      <vt:lpstr>Cronograma</vt:lpstr>
      <vt:lpstr>BD Personal</vt:lpstr>
      <vt:lpstr>Polania Ardila</vt:lpstr>
      <vt:lpstr>perez</vt:lpstr>
      <vt:lpstr>perez!Área_de_impresión</vt:lpstr>
      <vt:lpstr>Plantilla!Área_de_impresión</vt:lpstr>
      <vt:lpstr>PlantillaProasem!Área_de_impresión</vt:lpstr>
      <vt:lpstr>'Polania Ardila'!Área_de_impresión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2020-05-20T14:26:34Z</cp:lastPrinted>
  <dcterms:created xsi:type="dcterms:W3CDTF">2019-06-25T19:10:19Z</dcterms:created>
  <dcterms:modified xsi:type="dcterms:W3CDTF">2020-07-09T20:35:43Z</dcterms:modified>
</cp:coreProperties>
</file>