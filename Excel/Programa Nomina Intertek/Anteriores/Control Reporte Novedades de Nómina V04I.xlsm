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ED9B7638-4CFE-4F5C-9B9D-3486F7832B79}" xr6:coauthVersionLast="44" xr6:coauthVersionMax="44" xr10:uidLastSave="{00000000-0000-0000-0000-000000000000}"/>
  <bookViews>
    <workbookView xWindow="-120" yWindow="-120" windowWidth="20730" windowHeight="11160" firstSheet="2" activeTab="7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olania Ardila" sheetId="30" r:id="rId7"/>
    <sheet name="perez" sheetId="31" r:id="rId8"/>
  </sheets>
  <definedNames>
    <definedName name="_xlnm._FilterDatabase" localSheetId="5" hidden="1">'BD Personal'!$A$5:$R$5</definedName>
    <definedName name="_xlnm._FilterDatabase" localSheetId="7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_FilterDatabase" localSheetId="6" hidden="1">'Polania Ardila'!$A$13:$U$42</definedName>
    <definedName name="_xlnm.Print_Area" localSheetId="7">perez!$A$1:$R$78</definedName>
    <definedName name="_xlnm.Print_Area" localSheetId="0">Plantilla!$A$1:$R$78</definedName>
    <definedName name="_xlnm.Print_Area" localSheetId="1">PlantillaProasem!$A$1:$R$78</definedName>
    <definedName name="_xlnm.Print_Area" localSheetId="6">'Polania Ardila'!$A$1:$R$78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7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FilterData" localSheetId="6" hidden="1">'Polania Ardila'!$B$12:$Q$45</definedName>
    <definedName name="Z_3D6B2C87_FCE4_4060_8610_9A17B3623F4E_.wvu.PrintArea" localSheetId="7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  <definedName name="Z_3D6B2C87_FCE4_4060_8610_9A17B3623F4E_.wvu.PrintArea" localSheetId="6" hidden="1">'Polania Ardila'!$A$1:$Q$57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31" l="1"/>
  <c r="B66" i="31"/>
  <c r="B65" i="31"/>
  <c r="B64" i="31"/>
  <c r="B63" i="31"/>
  <c r="B62" i="31"/>
  <c r="B61" i="31"/>
  <c r="B60" i="31"/>
  <c r="O45" i="31"/>
  <c r="O56" i="31" s="1"/>
  <c r="E67" i="31" s="1"/>
  <c r="F67" i="31" s="1"/>
  <c r="N45" i="31"/>
  <c r="N56" i="31" s="1"/>
  <c r="E66" i="31" s="1"/>
  <c r="F66" i="31" s="1"/>
  <c r="M45" i="31"/>
  <c r="M56" i="31" s="1"/>
  <c r="E65" i="31" s="1"/>
  <c r="F65" i="31" s="1"/>
  <c r="L45" i="31"/>
  <c r="L56" i="31" s="1"/>
  <c r="E64" i="31" s="1"/>
  <c r="F64" i="31" s="1"/>
  <c r="K45" i="31"/>
  <c r="K56" i="31" s="1"/>
  <c r="E63" i="31" s="1"/>
  <c r="F63" i="31" s="1"/>
  <c r="J45" i="31"/>
  <c r="J56" i="31" s="1"/>
  <c r="E62" i="31" s="1"/>
  <c r="F62" i="31" s="1"/>
  <c r="I45" i="31"/>
  <c r="I56" i="31" s="1"/>
  <c r="E61" i="31" s="1"/>
  <c r="F61" i="31" s="1"/>
  <c r="H45" i="31"/>
  <c r="H56" i="31" s="1"/>
  <c r="E60" i="31" s="1"/>
  <c r="F60" i="31" s="1"/>
  <c r="F69" i="31" s="1"/>
  <c r="B14" i="31"/>
  <c r="B15" i="31" s="1"/>
  <c r="K11" i="31"/>
  <c r="E11" i="31"/>
  <c r="P10" i="31"/>
  <c r="K10" i="31"/>
  <c r="E10" i="31"/>
  <c r="K9" i="31"/>
  <c r="E9" i="31"/>
  <c r="P8" i="31"/>
  <c r="K8" i="31"/>
  <c r="P7" i="31"/>
  <c r="K7" i="31"/>
  <c r="E7" i="31"/>
  <c r="P1" i="31"/>
  <c r="B16" i="31" l="1"/>
  <c r="C15" i="31"/>
  <c r="C14" i="31"/>
  <c r="B67" i="30"/>
  <c r="B66" i="30"/>
  <c r="B65" i="30"/>
  <c r="B64" i="30"/>
  <c r="B63" i="30"/>
  <c r="B62" i="30"/>
  <c r="B61" i="30"/>
  <c r="B60" i="30"/>
  <c r="O45" i="30"/>
  <c r="O56" i="30" s="1"/>
  <c r="E67" i="30" s="1"/>
  <c r="F67" i="30" s="1"/>
  <c r="N45" i="30"/>
  <c r="N56" i="30" s="1"/>
  <c r="E66" i="30" s="1"/>
  <c r="F66" i="30" s="1"/>
  <c r="M45" i="30"/>
  <c r="M56" i="30" s="1"/>
  <c r="E65" i="30" s="1"/>
  <c r="F65" i="30" s="1"/>
  <c r="L45" i="30"/>
  <c r="L56" i="30" s="1"/>
  <c r="E64" i="30" s="1"/>
  <c r="F64" i="30" s="1"/>
  <c r="K45" i="30"/>
  <c r="K56" i="30" s="1"/>
  <c r="E63" i="30" s="1"/>
  <c r="F63" i="30" s="1"/>
  <c r="J45" i="30"/>
  <c r="J56" i="30" s="1"/>
  <c r="E62" i="30" s="1"/>
  <c r="F62" i="30" s="1"/>
  <c r="I45" i="30"/>
  <c r="I56" i="30" s="1"/>
  <c r="E61" i="30" s="1"/>
  <c r="F61" i="30" s="1"/>
  <c r="H45" i="30"/>
  <c r="H56" i="30" s="1"/>
  <c r="E60" i="30" s="1"/>
  <c r="F60" i="30" s="1"/>
  <c r="C15" i="30"/>
  <c r="B15" i="30"/>
  <c r="B16" i="30" s="1"/>
  <c r="C14" i="30"/>
  <c r="B14" i="30"/>
  <c r="K11" i="30"/>
  <c r="E11" i="30"/>
  <c r="P10" i="30"/>
  <c r="K10" i="30"/>
  <c r="E10" i="30"/>
  <c r="K9" i="30"/>
  <c r="E9" i="30"/>
  <c r="P8" i="30"/>
  <c r="K8" i="30"/>
  <c r="P7" i="30"/>
  <c r="K7" i="30"/>
  <c r="E7" i="30"/>
  <c r="P1" i="30"/>
  <c r="B17" i="31" l="1"/>
  <c r="C16" i="31"/>
  <c r="F69" i="30"/>
  <c r="B17" i="30"/>
  <c r="C16" i="30"/>
  <c r="F8" i="1"/>
  <c r="C17" i="31" l="1"/>
  <c r="B18" i="31"/>
  <c r="B18" i="30"/>
  <c r="C17" i="30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9" i="31" l="1"/>
  <c r="C18" i="31"/>
  <c r="B19" i="30"/>
  <c r="C18" i="30"/>
  <c r="F69" i="26"/>
  <c r="C24" i="23"/>
  <c r="C23" i="23"/>
  <c r="B20" i="31" l="1"/>
  <c r="C19" i="31"/>
  <c r="B20" i="30"/>
  <c r="C19" i="30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1" i="31" l="1"/>
  <c r="C20" i="31"/>
  <c r="B21" i="30"/>
  <c r="C20" i="30"/>
  <c r="P1" i="10"/>
  <c r="C21" i="31" l="1"/>
  <c r="B22" i="31"/>
  <c r="B22" i="30"/>
  <c r="C21" i="30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L10" i="23"/>
  <c r="N10" i="23"/>
  <c r="G10" i="23"/>
  <c r="M10" i="23"/>
  <c r="K10" i="23"/>
  <c r="I10" i="23"/>
  <c r="H10" i="23"/>
  <c r="J10" i="23"/>
  <c r="S10" i="23"/>
  <c r="I9" i="23"/>
  <c r="L9" i="23"/>
  <c r="N9" i="23"/>
  <c r="K9" i="23"/>
  <c r="H9" i="23"/>
  <c r="M9" i="23"/>
  <c r="J9" i="23"/>
  <c r="G9" i="23"/>
  <c r="B23" i="31" l="1"/>
  <c r="C22" i="31"/>
  <c r="B23" i="30"/>
  <c r="C22" i="30"/>
  <c r="K11" i="10"/>
  <c r="D5" i="23" s="1"/>
  <c r="B24" i="31" l="1"/>
  <c r="C23" i="31"/>
  <c r="B24" i="30"/>
  <c r="C23" i="30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31" l="1"/>
  <c r="C24" i="31"/>
  <c r="B25" i="30"/>
  <c r="C24" i="30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C25" i="31" l="1"/>
  <c r="B26" i="31"/>
  <c r="B26" i="30"/>
  <c r="C25" i="30"/>
  <c r="B14" i="26"/>
  <c r="B15" i="26" s="1"/>
  <c r="B14" i="10"/>
  <c r="C14" i="10" s="1"/>
  <c r="F6" i="1"/>
  <c r="B27" i="31" l="1"/>
  <c r="C26" i="31"/>
  <c r="B27" i="30"/>
  <c r="C26" i="30"/>
  <c r="C14" i="26"/>
  <c r="B16" i="26"/>
  <c r="C15" i="26"/>
  <c r="B15" i="10"/>
  <c r="B16" i="10" s="1"/>
  <c r="H8" i="1"/>
  <c r="B28" i="31" l="1"/>
  <c r="C27" i="31"/>
  <c r="B28" i="30"/>
  <c r="C27" i="30"/>
  <c r="B17" i="26"/>
  <c r="C16" i="26"/>
  <c r="C15" i="10"/>
  <c r="B17" i="10"/>
  <c r="C16" i="10"/>
  <c r="I8" i="1"/>
  <c r="G6" i="1"/>
  <c r="B29" i="31" l="1"/>
  <c r="C28" i="31"/>
  <c r="B29" i="30"/>
  <c r="C28" i="30"/>
  <c r="C17" i="26"/>
  <c r="B18" i="26"/>
  <c r="B18" i="10"/>
  <c r="C17" i="10"/>
  <c r="J8" i="1"/>
  <c r="H6" i="1"/>
  <c r="C29" i="31" l="1"/>
  <c r="B30" i="31"/>
  <c r="B30" i="30"/>
  <c r="C29" i="30"/>
  <c r="B19" i="26"/>
  <c r="C18" i="26"/>
  <c r="B19" i="10"/>
  <c r="C18" i="10"/>
  <c r="K8" i="1"/>
  <c r="I6" i="1"/>
  <c r="B31" i="31" l="1"/>
  <c r="C30" i="31"/>
  <c r="B31" i="30"/>
  <c r="C30" i="30"/>
  <c r="B20" i="26"/>
  <c r="C19" i="26"/>
  <c r="B20" i="10"/>
  <c r="C19" i="10"/>
  <c r="L8" i="1"/>
  <c r="J6" i="1"/>
  <c r="B32" i="31" l="1"/>
  <c r="C31" i="31"/>
  <c r="B32" i="30"/>
  <c r="C31" i="30"/>
  <c r="B21" i="26"/>
  <c r="C20" i="26"/>
  <c r="B21" i="10"/>
  <c r="C20" i="10"/>
  <c r="M8" i="1"/>
  <c r="K6" i="1"/>
  <c r="B33" i="31" l="1"/>
  <c r="C32" i="31"/>
  <c r="B33" i="30"/>
  <c r="C32" i="30"/>
  <c r="C21" i="26"/>
  <c r="B22" i="26"/>
  <c r="B22" i="10"/>
  <c r="C21" i="10"/>
  <c r="N8" i="1"/>
  <c r="L6" i="1"/>
  <c r="C33" i="31" l="1"/>
  <c r="B34" i="31"/>
  <c r="B34" i="30"/>
  <c r="C33" i="30"/>
  <c r="B23" i="26"/>
  <c r="C22" i="26"/>
  <c r="B23" i="10"/>
  <c r="C22" i="10"/>
  <c r="O8" i="1"/>
  <c r="M6" i="1"/>
  <c r="B35" i="31" l="1"/>
  <c r="C34" i="31"/>
  <c r="B35" i="30"/>
  <c r="C34" i="30"/>
  <c r="C23" i="26"/>
  <c r="B24" i="26"/>
  <c r="B24" i="10"/>
  <c r="C23" i="10"/>
  <c r="P8" i="1"/>
  <c r="N6" i="1"/>
  <c r="B36" i="31" l="1"/>
  <c r="C35" i="31"/>
  <c r="B36" i="30"/>
  <c r="C35" i="30"/>
  <c r="B25" i="26"/>
  <c r="C24" i="26"/>
  <c r="B25" i="10"/>
  <c r="C24" i="10"/>
  <c r="Q8" i="1"/>
  <c r="O6" i="1"/>
  <c r="B37" i="31" l="1"/>
  <c r="C36" i="31"/>
  <c r="B37" i="30"/>
  <c r="C36" i="30"/>
  <c r="B26" i="26"/>
  <c r="C25" i="26"/>
  <c r="B26" i="10"/>
  <c r="C25" i="10"/>
  <c r="R8" i="1"/>
  <c r="P6" i="1"/>
  <c r="C37" i="31" l="1"/>
  <c r="B38" i="31"/>
  <c r="B38" i="30"/>
  <c r="C37" i="30"/>
  <c r="B27" i="26"/>
  <c r="C26" i="26"/>
  <c r="B27" i="10"/>
  <c r="C26" i="10"/>
  <c r="S8" i="1"/>
  <c r="Q6" i="1"/>
  <c r="B39" i="31" l="1"/>
  <c r="C38" i="31"/>
  <c r="B39" i="30"/>
  <c r="C38" i="30"/>
  <c r="C27" i="26"/>
  <c r="B28" i="26"/>
  <c r="B28" i="10"/>
  <c r="C27" i="10"/>
  <c r="T8" i="1"/>
  <c r="R6" i="1"/>
  <c r="B40" i="31" l="1"/>
  <c r="C39" i="31"/>
  <c r="B40" i="30"/>
  <c r="C39" i="30"/>
  <c r="B29" i="26"/>
  <c r="C28" i="26"/>
  <c r="B29" i="10"/>
  <c r="C28" i="10"/>
  <c r="U8" i="1"/>
  <c r="S6" i="1"/>
  <c r="B41" i="31" l="1"/>
  <c r="C40" i="31"/>
  <c r="B41" i="30"/>
  <c r="C40" i="30"/>
  <c r="C29" i="26"/>
  <c r="B30" i="26"/>
  <c r="B30" i="10"/>
  <c r="C29" i="10"/>
  <c r="V8" i="1"/>
  <c r="T6" i="1"/>
  <c r="C41" i="31" l="1"/>
  <c r="B42" i="31"/>
  <c r="B42" i="30"/>
  <c r="C41" i="30"/>
  <c r="B31" i="26"/>
  <c r="C30" i="26"/>
  <c r="B31" i="10"/>
  <c r="C30" i="10"/>
  <c r="W8" i="1"/>
  <c r="U6" i="1"/>
  <c r="B43" i="31" l="1"/>
  <c r="C42" i="31"/>
  <c r="B43" i="30"/>
  <c r="C42" i="30"/>
  <c r="B32" i="26"/>
  <c r="C31" i="26"/>
  <c r="B32" i="10"/>
  <c r="C31" i="10"/>
  <c r="X8" i="1"/>
  <c r="V6" i="1"/>
  <c r="C43" i="31" l="1"/>
  <c r="B44" i="31"/>
  <c r="C44" i="31" s="1"/>
  <c r="B44" i="30"/>
  <c r="C44" i="30" s="1"/>
  <c r="C43" i="30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<sst xmlns="http://schemas.openxmlformats.org/spreadsheetml/2006/main" count="864" uniqueCount="300">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</sst>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2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7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83492B8-6E8B-4F02-AC29-5362DED6C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12674DC-D896-44CF-B16A-19A780DA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30" dataDxfId="28" headerRowBorderDxfId="29" tableBorderDxfId="27" totalsRowBorderDxfId="26">
  <autoFilter ref="A5:R60" xr:uid="{C13234AD-FA7A-4D97-9950-884B1BAC5114}"/>
  <tableColumns count="18">
    <tableColumn id="1" xr3:uid="{4EE8D68C-6341-4B29-B641-9AE121FFC379}" name="ID" dataDxfId="25"/>
    <tableColumn id="13" xr3:uid="{6A5344E1-D1D3-47B9-829C-53660AE6BD13}" name="SEXO" dataDxfId="24"/>
    <tableColumn id="2" xr3:uid="{0745EBDD-7777-42FA-BBE2-AFB1A77D7D84}" name="NOMBRES" dataDxfId="23"/>
    <tableColumn id="3" xr3:uid="{7564F2DE-73A8-4B30-9203-9F9C020B2B77}" name="APELLIDOS" dataDxfId="22"/>
    <tableColumn id="4" xr3:uid="{138A6C34-D8CD-41B4-9EFF-978D7C2DE765}" name="DIRECCION" dataDxfId="21"/>
    <tableColumn id="5" xr3:uid="{C8D5AC91-FD8D-4DF9-839C-C5ED07E974EB}" name="CIUDAD" dataDxfId="20"/>
    <tableColumn id="6" xr3:uid="{24EDCC2B-B6C9-4E4B-8093-0AF6A75A0AF3}" name="CELULAR" dataDxfId="19"/>
    <tableColumn id="7" xr3:uid="{67D71369-E093-42C2-B0A6-DACFA0F5E808}" name="FECHA DE NACIMIENTO" dataDxfId="18"/>
    <tableColumn id="8" xr3:uid="{0134D105-6BF0-47FF-91B8-395D5301FEBC}" name="EMAIL" dataDxfId="17"/>
    <tableColumn id="9" xr3:uid="{00DC93FC-A831-4C3A-9FB0-9EFBF0727524}" name="FECHA DE INGRESO" dataDxfId="16"/>
    <tableColumn id="10" xr3:uid="{6837E4F2-1063-4135-A1CA-9F981C7E3153}" name="CARGO" dataDxfId="15"/>
    <tableColumn id="11" xr3:uid="{93762E5C-BD7A-4C35-9FC5-B91D9955CB7E}" name="SALARIO BASICO" dataDxfId="14"/>
    <tableColumn id="18" xr3:uid="{04E1F06F-BD56-4693-8758-78D31FB4076C}" name="REGIMEN" dataDxfId="13"/>
    <tableColumn id="17" xr3:uid="{FDF30423-A81F-48E5-81B0-342D0FABCA10}" name="TURNO" dataDxfId="12"/>
    <tableColumn id="16" xr3:uid="{182F5DA9-60DB-47BE-921F-8243E6C68D38}" name="LINEA DE NEGOCIO" dataDxfId="11"/>
    <tableColumn id="14" xr3:uid="{F5FF9719-63B6-4A0B-8E4E-175CE17E2AB1}" name="LUGAR DE TRABAJO" dataDxfId="10"/>
    <tableColumn id="19" xr3:uid="{EFB5E090-DD33-4C1B-A7A7-0B23471E1CFA}" name="CECO" dataDxfId="9"/>
    <tableColumn id="12" xr3:uid="{666ACAFF-B14C-479F-B12A-E9DDAC762711}" name="SUB CECO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0" t="s">
        <v>49</v>
      </c>
      <c r="E59" s="1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6" priority="4">
      <formula>WEEKDAY(B14,2)=7</formula>
    </cfRule>
  </conditionalFormatting>
  <conditionalFormatting sqref="C14:C44">
    <cfRule type="expression" dxfId="5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/>
      <c r="C2" s="267"/>
      <c r="D2" s="267"/>
      <c r="E2" s="268"/>
      <c r="F2" s="275" t="s">
        <v>17</v>
      </c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87"/>
      <c r="D3" s="287"/>
      <c r="E3" s="271"/>
      <c r="F3" s="27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87"/>
      <c r="D4" s="287"/>
      <c r="E4" s="271"/>
      <c r="F4" s="27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3"/>
      <c r="E5" s="274"/>
      <c r="F5" s="281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64" t="s">
        <v>49</v>
      </c>
      <c r="E59" s="164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12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8" priority="3"/>
  </conditionalFormatting>
  <conditionalFormatting sqref="AE3:AE14">
    <cfRule type="duplicateValues" dxfId="47" priority="2"/>
  </conditionalFormatting>
  <conditionalFormatting sqref="AO3:AO14">
    <cfRule type="duplicateValues" dxfId="46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9" t="s">
        <v>143</v>
      </c>
      <c r="B5" s="289"/>
      <c r="C5" s="289"/>
      <c r="D5" s="290" t="str">
        <f>Plantilla!K11</f>
        <v>AGOSTO</v>
      </c>
      <c r="E5" s="290"/>
      <c r="F5" s="296" t="s">
        <v>144</v>
      </c>
      <c r="G5" s="297"/>
      <c r="H5" s="297"/>
      <c r="I5" s="297"/>
      <c r="J5" s="297"/>
      <c r="K5" s="297"/>
      <c r="L5" s="297"/>
      <c r="M5" s="297"/>
      <c r="N5" s="297"/>
      <c r="O5" s="298"/>
      <c r="P5" s="296" t="s">
        <v>168</v>
      </c>
      <c r="Q5" s="298"/>
      <c r="R5" s="296"/>
      <c r="S5" s="298"/>
    </row>
    <row r="6" spans="1:21" s="47" customFormat="1" ht="29.25" customHeight="1" x14ac:dyDescent="0.25">
      <c r="A6" s="291" t="s">
        <v>145</v>
      </c>
      <c r="B6" s="291" t="s">
        <v>146</v>
      </c>
      <c r="C6" s="291" t="s">
        <v>147</v>
      </c>
      <c r="D6" s="292" t="s">
        <v>148</v>
      </c>
      <c r="E6" s="292" t="s">
        <v>67</v>
      </c>
      <c r="F6" s="291" t="s">
        <v>0</v>
      </c>
      <c r="G6" s="294" t="s">
        <v>3</v>
      </c>
      <c r="H6" s="294" t="s">
        <v>4</v>
      </c>
      <c r="I6" s="294" t="s">
        <v>34</v>
      </c>
      <c r="J6" s="294" t="s">
        <v>35</v>
      </c>
      <c r="K6" s="294" t="s">
        <v>36</v>
      </c>
      <c r="L6" s="294" t="s">
        <v>37</v>
      </c>
      <c r="M6" s="294" t="s">
        <v>38</v>
      </c>
      <c r="N6" s="294" t="s">
        <v>5</v>
      </c>
      <c r="O6" s="299" t="s">
        <v>149</v>
      </c>
      <c r="P6" s="300"/>
      <c r="Q6" s="300"/>
      <c r="R6" s="301"/>
      <c r="S6" s="293" t="s">
        <v>47</v>
      </c>
    </row>
    <row r="7" spans="1:21" s="47" customFormat="1" ht="78.75" customHeight="1" x14ac:dyDescent="0.25">
      <c r="A7" s="291"/>
      <c r="B7" s="291"/>
      <c r="C7" s="291"/>
      <c r="D7" s="291"/>
      <c r="E7" s="291"/>
      <c r="F7" s="291"/>
      <c r="G7" s="295"/>
      <c r="H7" s="295"/>
      <c r="I7" s="295"/>
      <c r="J7" s="295"/>
      <c r="K7" s="295"/>
      <c r="L7" s="295"/>
      <c r="M7" s="295"/>
      <c r="N7" s="295"/>
      <c r="O7" s="48" t="s">
        <v>150</v>
      </c>
      <c r="P7" s="48" t="s">
        <v>151</v>
      </c>
      <c r="Q7" s="48" t="s">
        <v>152</v>
      </c>
      <c r="R7" s="48" t="s">
        <v>153</v>
      </c>
      <c r="S7" s="293"/>
    </row>
    <row r="8" spans="1:21" s="50" customFormat="1" ht="31.5" customHeight="1" x14ac:dyDescent="0.25">
      <c r="A8" s="291"/>
      <c r="B8" s="291"/>
      <c r="C8" s="291"/>
      <c r="D8" s="291"/>
      <c r="E8" s="291"/>
      <c r="F8" s="291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3"/>
    </row>
    <row r="9" spans="1:21" ht="36" customHeight="1" x14ac:dyDescent="0.25">
      <c r="A9" s="135">
        <v>1</v>
      </c>
      <c r="B9" s="136">
        <v>7704176</v>
      </c>
      <c r="C9" s="137" t="str">
        <f>IF(B9="","",VLOOKUP(B9,'BD Personal'!$A$6:$R$64,3,FALSE))&amp;" "&amp;IF(B9="","",VLOOKUP(B9,'BD Personal'!$A$6:$R$64,4,FALSE))</f>
        <v>Faiver Yovany Polania Ardila</v>
      </c>
      <c r="D9" s="137">
        <f>IF(B9="","",VLOOKUP(B9,'BD Personal'!$A$6:$R$64,17,FALSE))</f>
        <v>34</v>
      </c>
      <c r="E9" s="137">
        <f>IF(B9="","",VLOOKUP(B9,'BD Personal'!$A$6:$R$64,18,FALSE))</f>
        <v>3</v>
      </c>
      <c r="F9" s="137" t="str">
        <f>IF(B9="","",VLOOKUP(B9,'BD Personal'!$A$6:$R$64,11,FALSE))</f>
        <v>Inspector</v>
      </c>
      <c r="G9" s="138">
        <f ca="1">IF(B9="","",INDIRECT("'"&amp;VLOOKUP(B9,'BD Personal'!$A$6:$R$64,4,FALSE)&amp;"'!H56"))</f>
        <v>0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11</v>
      </c>
      <c r="L9" s="138">
        <f ca="1">IF(B9="","",INDIRECT("'"&amp;VLOOKUP(B9,'BD Personal'!$A$6:$R$64,4,FALSE)&amp;"'!M56"))</f>
        <v>5</v>
      </c>
      <c r="M9" s="138">
        <f ca="1">IF(B9="","",INDIRECT("'"&amp;VLOOKUP(B9,'BD Personal'!$A$6:$R$64,4,FALSE)&amp;"'!N56"))</f>
        <v>21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>
        <v>9897000</v>
      </c>
      <c r="C10" s="137" t="str">
        <f>IF(B10="","",VLOOKUP(B10,'BD Personal'!$A$6:$R$64,3,FALSE))&amp;" "&amp;IF(B10="","",VLOOKUP(B10,'BD Personal'!$A$6:$R$64,4,FALSE))</f>
        <v>pollo perez</v>
      </c>
      <c r="D10" s="137" t="str">
        <f>IF(B10="","",VLOOKUP(B10,'BD Personal'!$A$6:$R$64,17,FALSE))</f>
        <v>001</v>
      </c>
      <c r="E10" s="137" t="str">
        <f>IF(B10="","",VLOOKUP(B10,'BD Personal'!$A$6:$R$64,18,FALSE))</f>
        <v>1</v>
      </c>
      <c r="F10" s="137" t="str">
        <f>IF(B10="","",VLOOKUP(B10,'BD Personal'!$A$6:$R$64,11,FALSE))</f>
        <v>Finanzas</v>
      </c>
      <c r="G10" s="138">
        <f ca="1">IF(B10="","",INDIRECT("'"&amp;VLOOKUP(B10,'BD Personal'!$A$6:$R$64,4,FALSE)&amp;"'!H56"))</f>
        <v>10.75</v>
      </c>
      <c r="H10" s="138">
        <f ca="1">IF(B10="","",INDIRECT("'"&amp;VLOOKUP(B10,'BD Personal'!$A$6:$R$64,4,FALSE)&amp;"'!I56"))</f>
        <v>3</v>
      </c>
      <c r="I10" s="138">
        <f ca="1">IF(B10="","",INDIRECT("'"&amp;VLOOKUP(B10,'BD Personal'!$A$6:$R$64,4,FALSE)&amp;"'!J56"))</f>
        <v>0</v>
      </c>
      <c r="J10" s="138">
        <f ca="1">IF(B10="","",INDIRECT("'"&amp;VLOOKUP(B10,'BD Personal'!$A$6:$R$64,4,FALSE)&amp;"'!K56"))</f>
        <v>0.5</v>
      </c>
      <c r="K10" s="138">
        <f ca="1">IF(B10="","",INDIRECT("'"&amp;VLOOKUP(B10,'BD Personal'!$A$6:$R$64,4,FALSE)&amp;"'!L56"))</f>
        <v>0</v>
      </c>
      <c r="L10" s="138">
        <f ca="1">IF(B10="","",INDIRECT("'"&amp;VLOOKUP(B10,'BD Personal'!$A$6:$R$64,4,FALSE)&amp;"'!M56"))</f>
        <v>0</v>
      </c>
      <c r="M10" s="138">
        <f ca="1">IF(B10="","",INDIRECT("'"&amp;VLOOKUP(B10,'BD Personal'!$A$6:$R$64,4,FALSE)&amp;"'!N56"))</f>
        <v>0</v>
      </c>
      <c r="N10" s="138">
        <f ca="1">IF(B10="","",INDIRECT("'"&amp;VLOOKUP(B10,'BD Personal'!$A$6:$R$64,4,FALSE)&amp;"'!O56"))</f>
        <v>0</v>
      </c>
      <c r="O10" s="139"/>
      <c r="P10" s="139"/>
      <c r="Q10" s="139"/>
      <c r="R10" s="139"/>
      <c r="S10" s="138">
        <f ca="1">IF(B10="","",INDIRECT("'"&amp;VLOOKUP(B10,'BD Personal'!$A$6:$R$64,4,FALSE)&amp;"'!H60"))</f>
        <v>0</v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T10" sqref="T10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2"/>
      <c r="C1" s="333"/>
      <c r="D1" s="333"/>
      <c r="E1" s="333"/>
      <c r="F1" s="320" t="s">
        <v>15</v>
      </c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0"/>
      <c r="AI1" s="320"/>
      <c r="AJ1" s="323"/>
      <c r="AK1" s="20"/>
    </row>
    <row r="2" spans="2:40" ht="15" customHeight="1" x14ac:dyDescent="0.25">
      <c r="B2" s="334"/>
      <c r="C2" s="335"/>
      <c r="D2" s="335"/>
      <c r="E2" s="335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4"/>
      <c r="AK2" s="21"/>
    </row>
    <row r="3" spans="2:40" ht="15" customHeight="1" x14ac:dyDescent="0.25">
      <c r="B3" s="334"/>
      <c r="C3" s="335"/>
      <c r="D3" s="335"/>
      <c r="E3" s="335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324"/>
      <c r="AK3" s="21"/>
    </row>
    <row r="4" spans="2:40" ht="15" customHeight="1" x14ac:dyDescent="0.25">
      <c r="B4" s="334"/>
      <c r="C4" s="335"/>
      <c r="D4" s="335"/>
      <c r="E4" s="335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1"/>
      <c r="AJ4" s="324"/>
      <c r="AK4" s="21"/>
    </row>
    <row r="5" spans="2:40" ht="19.5" customHeight="1" thickBot="1" x14ac:dyDescent="0.3">
      <c r="B5" s="336"/>
      <c r="C5" s="337"/>
      <c r="D5" s="337"/>
      <c r="E5" s="337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  <c r="Z5" s="322"/>
      <c r="AA5" s="322"/>
      <c r="AB5" s="322"/>
      <c r="AC5" s="322"/>
      <c r="AD5" s="322"/>
      <c r="AE5" s="322"/>
      <c r="AF5" s="322"/>
      <c r="AG5" s="322"/>
      <c r="AH5" s="322"/>
      <c r="AI5" s="322"/>
      <c r="AJ5" s="325"/>
      <c r="AK5" s="22"/>
    </row>
    <row r="6" spans="2:40" ht="15" customHeight="1" x14ac:dyDescent="0.25">
      <c r="B6" s="326" t="s">
        <v>281</v>
      </c>
      <c r="C6" s="327"/>
      <c r="D6" s="327"/>
      <c r="E6" s="330">
        <v>2020</v>
      </c>
      <c r="F6" s="314" t="str">
        <f>TEXT(F8,"ddd")</f>
        <v>sáb</v>
      </c>
      <c r="G6" s="314" t="str">
        <f t="shared" ref="G6:AJ6" si="0">TEXT(G8,"ddd")</f>
        <v>dom</v>
      </c>
      <c r="H6" s="314" t="str">
        <f t="shared" si="0"/>
        <v>lun</v>
      </c>
      <c r="I6" s="314" t="str">
        <f t="shared" si="0"/>
        <v>mar</v>
      </c>
      <c r="J6" s="314" t="str">
        <f t="shared" si="0"/>
        <v>mié</v>
      </c>
      <c r="K6" s="314" t="str">
        <f t="shared" si="0"/>
        <v>jue</v>
      </c>
      <c r="L6" s="314" t="str">
        <f t="shared" si="0"/>
        <v>vie</v>
      </c>
      <c r="M6" s="314" t="str">
        <f t="shared" si="0"/>
        <v>sáb</v>
      </c>
      <c r="N6" s="314" t="str">
        <f t="shared" si="0"/>
        <v>dom</v>
      </c>
      <c r="O6" s="314" t="str">
        <f t="shared" si="0"/>
        <v>lun</v>
      </c>
      <c r="P6" s="314" t="str">
        <f t="shared" si="0"/>
        <v>mar</v>
      </c>
      <c r="Q6" s="314" t="str">
        <f t="shared" si="0"/>
        <v>mié</v>
      </c>
      <c r="R6" s="314" t="str">
        <f t="shared" si="0"/>
        <v>jue</v>
      </c>
      <c r="S6" s="314" t="str">
        <f t="shared" si="0"/>
        <v>vie</v>
      </c>
      <c r="T6" s="314" t="str">
        <f t="shared" si="0"/>
        <v>sáb</v>
      </c>
      <c r="U6" s="314" t="str">
        <f t="shared" si="0"/>
        <v>dom</v>
      </c>
      <c r="V6" s="314" t="str">
        <f t="shared" si="0"/>
        <v>lun</v>
      </c>
      <c r="W6" s="314" t="str">
        <f t="shared" si="0"/>
        <v>mar</v>
      </c>
      <c r="X6" s="314" t="str">
        <f t="shared" si="0"/>
        <v>mié</v>
      </c>
      <c r="Y6" s="314" t="str">
        <f t="shared" si="0"/>
        <v>jue</v>
      </c>
      <c r="Z6" s="314" t="str">
        <f t="shared" si="0"/>
        <v>vie</v>
      </c>
      <c r="AA6" s="314" t="str">
        <f t="shared" si="0"/>
        <v>sáb</v>
      </c>
      <c r="AB6" s="314" t="str">
        <f t="shared" si="0"/>
        <v>dom</v>
      </c>
      <c r="AC6" s="314" t="str">
        <f t="shared" si="0"/>
        <v>lun</v>
      </c>
      <c r="AD6" s="314" t="str">
        <f t="shared" si="0"/>
        <v>mar</v>
      </c>
      <c r="AE6" s="314" t="str">
        <f t="shared" si="0"/>
        <v>mié</v>
      </c>
      <c r="AF6" s="314" t="str">
        <f t="shared" si="0"/>
        <v>jue</v>
      </c>
      <c r="AG6" s="314" t="str">
        <f t="shared" si="0"/>
        <v>vie</v>
      </c>
      <c r="AH6" s="314" t="str">
        <f t="shared" si="0"/>
        <v>sáb</v>
      </c>
      <c r="AI6" s="314" t="str">
        <f t="shared" si="0"/>
        <v>dom</v>
      </c>
      <c r="AJ6" s="338" t="str">
        <f t="shared" si="0"/>
        <v>lun</v>
      </c>
      <c r="AK6" s="182"/>
      <c r="AL6" s="302"/>
    </row>
    <row r="7" spans="2:40" ht="15" customHeight="1" x14ac:dyDescent="0.25">
      <c r="B7" s="328"/>
      <c r="C7" s="329"/>
      <c r="D7" s="329"/>
      <c r="E7" s="331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39"/>
      <c r="AK7" s="182"/>
      <c r="AL7" s="302"/>
    </row>
    <row r="8" spans="2:40" ht="22.5" customHeight="1" thickBot="1" x14ac:dyDescent="0.3">
      <c r="B8" s="311" t="s">
        <v>1</v>
      </c>
      <c r="C8" s="312"/>
      <c r="D8" s="312"/>
      <c r="E8" s="313"/>
      <c r="F8" s="181">
        <f>DATE(E6,_xlfn.IFS(B6="ENERO",1,B6="FEBRERO",2,B6="MARZO",3,B6="ABRIL",4,B6="MAYO",5,B6="JUNIO",6,B6="JULIO",7,B6="AGOSTO",8,B6="SEPTIEMBRE",9,B6="OCTUBRE",10,B6="NOVIEMBRE",11,B6="DICIEMBRE",12),1)</f>
        <v>44044</v>
      </c>
      <c r="G8" s="181">
        <f>F8+1</f>
        <v>44045</v>
      </c>
      <c r="H8" s="181">
        <f t="shared" ref="H8:AK8" si="1">G8+1</f>
        <v>44046</v>
      </c>
      <c r="I8" s="181">
        <f t="shared" si="1"/>
        <v>44047</v>
      </c>
      <c r="J8" s="181">
        <f t="shared" si="1"/>
        <v>44048</v>
      </c>
      <c r="K8" s="181">
        <f t="shared" si="1"/>
        <v>44049</v>
      </c>
      <c r="L8" s="181">
        <f t="shared" si="1"/>
        <v>44050</v>
      </c>
      <c r="M8" s="181">
        <f t="shared" si="1"/>
        <v>44051</v>
      </c>
      <c r="N8" s="181">
        <f t="shared" si="1"/>
        <v>44052</v>
      </c>
      <c r="O8" s="181">
        <f t="shared" si="1"/>
        <v>44053</v>
      </c>
      <c r="P8" s="181">
        <f t="shared" si="1"/>
        <v>44054</v>
      </c>
      <c r="Q8" s="181">
        <f t="shared" si="1"/>
        <v>44055</v>
      </c>
      <c r="R8" s="181">
        <f t="shared" si="1"/>
        <v>44056</v>
      </c>
      <c r="S8" s="181">
        <f t="shared" si="1"/>
        <v>44057</v>
      </c>
      <c r="T8" s="181">
        <f t="shared" si="1"/>
        <v>44058</v>
      </c>
      <c r="U8" s="181">
        <f t="shared" si="1"/>
        <v>44059</v>
      </c>
      <c r="V8" s="181">
        <f t="shared" si="1"/>
        <v>44060</v>
      </c>
      <c r="W8" s="181">
        <f t="shared" si="1"/>
        <v>44061</v>
      </c>
      <c r="X8" s="181">
        <f t="shared" si="1"/>
        <v>44062</v>
      </c>
      <c r="Y8" s="181">
        <f t="shared" si="1"/>
        <v>44063</v>
      </c>
      <c r="Z8" s="181">
        <f t="shared" si="1"/>
        <v>44064</v>
      </c>
      <c r="AA8" s="181">
        <f t="shared" si="1"/>
        <v>44065</v>
      </c>
      <c r="AB8" s="181">
        <f t="shared" si="1"/>
        <v>44066</v>
      </c>
      <c r="AC8" s="181">
        <f t="shared" si="1"/>
        <v>44067</v>
      </c>
      <c r="AD8" s="181">
        <f t="shared" si="1"/>
        <v>44068</v>
      </c>
      <c r="AE8" s="181">
        <f t="shared" si="1"/>
        <v>44069</v>
      </c>
      <c r="AF8" s="181">
        <f t="shared" si="1"/>
        <v>44070</v>
      </c>
      <c r="AG8" s="181">
        <f t="shared" si="1"/>
        <v>44071</v>
      </c>
      <c r="AH8" s="181">
        <f t="shared" si="1"/>
        <v>44072</v>
      </c>
      <c r="AI8" s="181">
        <f t="shared" si="1"/>
        <v>44073</v>
      </c>
      <c r="AJ8" s="183">
        <f t="shared" si="1"/>
        <v>44074</v>
      </c>
      <c r="AK8" s="184">
        <f t="shared" si="1"/>
        <v>44075</v>
      </c>
      <c r="AL8" s="302"/>
      <c r="AM8" t="s">
        <v>1</v>
      </c>
    </row>
    <row r="9" spans="2:40" ht="21.95" customHeight="1" x14ac:dyDescent="0.25">
      <c r="B9" s="318" t="s">
        <v>181</v>
      </c>
      <c r="C9" s="319"/>
      <c r="D9" s="316" t="s">
        <v>180</v>
      </c>
      <c r="E9" s="317"/>
      <c r="F9" s="150"/>
      <c r="G9" s="151"/>
      <c r="H9" s="151"/>
      <c r="I9" s="151"/>
      <c r="J9" s="151"/>
      <c r="K9" s="151" t="s">
        <v>85</v>
      </c>
      <c r="L9" s="151"/>
      <c r="M9" s="151" t="s">
        <v>85</v>
      </c>
      <c r="N9" s="151" t="s">
        <v>85</v>
      </c>
      <c r="O9" s="151"/>
      <c r="P9" s="151"/>
      <c r="Q9" s="151"/>
      <c r="R9" s="151"/>
      <c r="S9" s="151"/>
      <c r="T9" s="151"/>
      <c r="U9" s="151" t="s">
        <v>85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181</v>
      </c>
      <c r="AN9" t="s">
        <v>89</v>
      </c>
    </row>
    <row r="10" spans="2:40" ht="21.95" customHeight="1" x14ac:dyDescent="0.25">
      <c r="B10" s="303" t="s">
        <v>290</v>
      </c>
      <c r="C10" s="304"/>
      <c r="D10" s="305" t="s">
        <v>289</v>
      </c>
      <c r="E10" s="306"/>
      <c r="F10" s="146"/>
      <c r="G10" s="147"/>
      <c r="H10" s="147"/>
      <c r="I10" s="147"/>
      <c r="J10" s="147"/>
      <c r="K10" s="147"/>
      <c r="L10" s="147"/>
      <c r="M10" s="147" t="s">
        <v>272</v>
      </c>
      <c r="N10" s="147"/>
      <c r="O10" s="147"/>
      <c r="P10" s="147"/>
      <c r="Q10" s="147"/>
      <c r="R10" s="147"/>
      <c r="S10" s="147"/>
      <c r="T10" s="147" t="s">
        <v>272</v>
      </c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M10" t="s">
        <v>290</v>
      </c>
      <c r="AN10" t="s">
        <v>69</v>
      </c>
    </row>
    <row r="11" spans="2:40" ht="21.95" customHeight="1" x14ac:dyDescent="0.25">
      <c r="B11" s="303"/>
      <c r="C11" s="304"/>
      <c r="D11" s="305"/>
      <c r="E11" s="306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3"/>
      <c r="C12" s="304"/>
      <c r="D12" s="305"/>
      <c r="E12" s="306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3"/>
      <c r="C13" s="304"/>
      <c r="D13" s="305"/>
      <c r="E13" s="306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3"/>
      <c r="C14" s="304"/>
      <c r="D14" s="305"/>
      <c r="E14" s="306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3"/>
      <c r="C15" s="304"/>
      <c r="D15" s="305"/>
      <c r="E15" s="306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3"/>
      <c r="C16" s="304"/>
      <c r="D16" s="305"/>
      <c r="E16" s="306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3"/>
      <c r="C17" s="304"/>
      <c r="D17" s="305"/>
      <c r="E17" s="306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3"/>
      <c r="C18" s="304"/>
      <c r="D18" s="305"/>
      <c r="E18" s="306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3"/>
      <c r="C19" s="304"/>
      <c r="D19" s="305"/>
      <c r="E19" s="306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3"/>
      <c r="C20" s="304"/>
      <c r="D20" s="305"/>
      <c r="E20" s="306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3"/>
      <c r="C21" s="304"/>
      <c r="D21" s="305"/>
      <c r="E21" s="306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3"/>
      <c r="C22" s="304"/>
      <c r="D22" s="305"/>
      <c r="E22" s="306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3"/>
      <c r="C23" s="304"/>
      <c r="D23" s="305"/>
      <c r="E23" s="306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3"/>
      <c r="C24" s="304"/>
      <c r="D24" s="305"/>
      <c r="E24" s="306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3"/>
      <c r="C25" s="304"/>
      <c r="D25" s="305"/>
      <c r="E25" s="306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3"/>
      <c r="C26" s="304"/>
      <c r="D26" s="305"/>
      <c r="E26" s="306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3"/>
      <c r="C27" s="304"/>
      <c r="D27" s="305"/>
      <c r="E27" s="306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3"/>
      <c r="C28" s="304"/>
      <c r="D28" s="305"/>
      <c r="E28" s="306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3"/>
      <c r="C29" s="304"/>
      <c r="D29" s="305" t="str">
        <f>IF(B29="","",VLOOKUP(B29,'BD Personal'!#REF!,2,FALSE))</f>
        <v/>
      </c>
      <c r="E29" s="306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3"/>
      <c r="C30" s="304"/>
      <c r="D30" s="305" t="str">
        <f>IF(B30="","",VLOOKUP(B30,'BD Personal'!#REF!,2,FALSE))</f>
        <v/>
      </c>
      <c r="E30" s="306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3"/>
      <c r="C31" s="304"/>
      <c r="D31" s="305" t="str">
        <f>IF(B31="","",VLOOKUP(B31,'BD Personal'!#REF!,2,FALSE))</f>
        <v/>
      </c>
      <c r="E31" s="306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3"/>
      <c r="C32" s="304"/>
      <c r="D32" s="305" t="str">
        <f>IF(B32="","",VLOOKUP(B32,'BD Personal'!#REF!,2,FALSE))</f>
        <v/>
      </c>
      <c r="E32" s="306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3"/>
      <c r="C33" s="304"/>
      <c r="D33" s="305" t="str">
        <f>IF(B33="","",VLOOKUP(B33,'BD Personal'!#REF!,2,FALSE))</f>
        <v/>
      </c>
      <c r="E33" s="306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3"/>
      <c r="C34" s="304"/>
      <c r="D34" s="305" t="str">
        <f>IF(B34="","",VLOOKUP(B34,'BD Personal'!#REF!,2,FALSE))</f>
        <v/>
      </c>
      <c r="E34" s="306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3"/>
      <c r="C35" s="304"/>
      <c r="D35" s="305" t="str">
        <f>IF(B35="","",VLOOKUP(B35,'BD Personal'!#REF!,2,FALSE))</f>
        <v/>
      </c>
      <c r="E35" s="306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3"/>
      <c r="C36" s="304"/>
      <c r="D36" s="305" t="str">
        <f>IF(B36="","",VLOOKUP(B36,'BD Personal'!#REF!,2,FALSE))</f>
        <v/>
      </c>
      <c r="E36" s="306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3"/>
      <c r="C37" s="304"/>
      <c r="D37" s="305" t="str">
        <f>IF(B37="","",VLOOKUP(B37,'BD Personal'!#REF!,2,FALSE))</f>
        <v/>
      </c>
      <c r="E37" s="306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3"/>
      <c r="C38" s="304"/>
      <c r="D38" s="305" t="str">
        <f>IF(B38="","",VLOOKUP(B38,'BD Personal'!#REF!,2,FALSE))</f>
        <v/>
      </c>
      <c r="E38" s="306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3"/>
      <c r="C39" s="304"/>
      <c r="D39" s="305" t="str">
        <f>IF(B39="","",VLOOKUP(B39,'BD Personal'!#REF!,2,FALSE))</f>
        <v/>
      </c>
      <c r="E39" s="306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3"/>
      <c r="C40" s="304"/>
      <c r="D40" s="305" t="str">
        <f>IF(B40="","",VLOOKUP(B40,'BD Personal'!#REF!,2,FALSE))</f>
        <v/>
      </c>
      <c r="E40" s="306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3"/>
      <c r="C41" s="304"/>
      <c r="D41" s="305" t="str">
        <f>IF(B41="","",VLOOKUP(B41,'BD Personal'!#REF!,2,FALSE))</f>
        <v/>
      </c>
      <c r="E41" s="306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3"/>
      <c r="C42" s="304"/>
      <c r="D42" s="305" t="str">
        <f>IF(B42="","",VLOOKUP(B42,'BD Personal'!#REF!,2,FALSE))</f>
        <v/>
      </c>
      <c r="E42" s="306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3"/>
      <c r="C43" s="304"/>
      <c r="D43" s="305" t="str">
        <f>IF(B43="","",VLOOKUP(B43,'BD Personal'!#REF!,2,FALSE))</f>
        <v/>
      </c>
      <c r="E43" s="306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3"/>
      <c r="C44" s="304"/>
      <c r="D44" s="305" t="str">
        <f>IF(B44="","",VLOOKUP(B44,'BD Personal'!#REF!,2,FALSE))</f>
        <v/>
      </c>
      <c r="E44" s="306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3"/>
      <c r="C45" s="304"/>
      <c r="D45" s="305" t="str">
        <f>IF(B45="","",VLOOKUP(B45,'BD Personal'!#REF!,2,FALSE))</f>
        <v/>
      </c>
      <c r="E45" s="306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3"/>
      <c r="C46" s="304"/>
      <c r="D46" s="305" t="str">
        <f>IF(B46="","",VLOOKUP(B46,'BD Personal'!#REF!,2,FALSE))</f>
        <v/>
      </c>
      <c r="E46" s="306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3"/>
      <c r="C47" s="304"/>
      <c r="D47" s="305" t="str">
        <f>IF(B47="","",VLOOKUP(B47,'BD Personal'!#REF!,2,FALSE))</f>
        <v/>
      </c>
      <c r="E47" s="306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3"/>
      <c r="C48" s="304"/>
      <c r="D48" s="305" t="str">
        <f>IF(B48="","",VLOOKUP(B48,'BD Personal'!#REF!,2,FALSE))</f>
        <v/>
      </c>
      <c r="E48" s="306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3"/>
      <c r="C49" s="304"/>
      <c r="D49" s="305" t="str">
        <f>IF(B49="","",VLOOKUP(B49,'BD Personal'!#REF!,2,FALSE))</f>
        <v/>
      </c>
      <c r="E49" s="306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7"/>
      <c r="C50" s="308"/>
      <c r="D50" s="309" t="str">
        <f>IF(B50="","",VLOOKUP(B50,'BD Personal'!#REF!,2,FALSE))</f>
        <v/>
      </c>
      <c r="E50" s="310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5" priority="58">
      <formula>WEEKDAY(F8,2)=7</formula>
    </cfRule>
  </conditionalFormatting>
  <conditionalFormatting sqref="G8:AK8">
    <cfRule type="expression" dxfId="44" priority="54">
      <formula>WEEKDAY(G8,2)=7</formula>
    </cfRule>
  </conditionalFormatting>
  <conditionalFormatting sqref="F6:F7">
    <cfRule type="expression" dxfId="43" priority="53">
      <formula>WEEKDAY(F8,2)=7</formula>
    </cfRule>
  </conditionalFormatting>
  <conditionalFormatting sqref="G6:AJ7">
    <cfRule type="expression" dxfId="42" priority="51">
      <formula>WEEKDAY(G8,2)=7</formula>
    </cfRule>
  </conditionalFormatting>
  <conditionalFormatting sqref="F9:AJ50">
    <cfRule type="cellIs" dxfId="41" priority="1" operator="equal">
      <formula>"IM"</formula>
    </cfRule>
    <cfRule type="cellIs" dxfId="40" priority="2" operator="equal">
      <formula>"V"</formula>
    </cfRule>
    <cfRule type="cellIs" dxfId="39" priority="3" operator="equal">
      <formula>"DE"</formula>
    </cfRule>
    <cfRule type="cellIs" dxfId="38" priority="4" operator="equal">
      <formula>"T2"</formula>
    </cfRule>
    <cfRule type="cellIs" dxfId="37" priority="5" operator="equal">
      <formula>"T3"</formula>
    </cfRule>
    <cfRule type="cellIs" dxfId="36" priority="6" operator="equal">
      <formula>"T1"</formula>
    </cfRule>
    <cfRule type="cellIs" dxfId="35" priority="8" operator="equal">
      <formula>"N"</formula>
    </cfRule>
    <cfRule type="cellIs" dxfId="34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1"/>
      <c r="E1" s="341"/>
      <c r="F1" s="340" t="s">
        <v>68</v>
      </c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</row>
    <row r="2" spans="1:18" ht="15" customHeight="1" x14ac:dyDescent="0.25">
      <c r="A2" s="24"/>
      <c r="B2" s="24"/>
      <c r="C2" s="24"/>
      <c r="D2" s="341"/>
      <c r="E2" s="341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ht="15" customHeight="1" x14ac:dyDescent="0.25">
      <c r="A3" s="24"/>
      <c r="B3" s="24"/>
      <c r="C3" s="24"/>
      <c r="D3" s="341"/>
      <c r="E3" s="341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</row>
    <row r="4" spans="1:18" ht="26.25" customHeight="1" x14ac:dyDescent="0.25">
      <c r="A4" s="24"/>
      <c r="B4" s="24"/>
      <c r="C4" s="24"/>
      <c r="D4" s="341"/>
      <c r="E4" s="341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DB22-C586-4826-B3D3-1692A100C1F4}">
  <sheetPr codeName="Hoja7">
    <pageSetUpPr fitToPage="1"/>
  </sheetPr>
  <dimension ref="A1:X79"/>
  <sheetViews>
    <sheetView showGridLines="0" view="pageBreakPreview" topLeftCell="A10" zoomScale="70" zoomScaleNormal="70" zoomScaleSheetLayoutView="70" zoomScalePageLayoutView="90" workbookViewId="0">
      <selection activeCell="N19" sqref="N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18/02/1970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Faiver Yovany Polania Ardila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Masculino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18403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7704176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Inspector</v>
      </c>
      <c r="L8" s="258"/>
      <c r="M8" s="258"/>
      <c r="N8" s="252" t="s">
        <v>23</v>
      </c>
      <c r="O8" s="252"/>
      <c r="P8" s="264" t="str">
        <f>IF($E$8="","",VLOOKUP($E$8,'BD Personal'!$A$6:$R$64,10,FALSE))</f>
        <v>18/02/2020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14 X 7 12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>
        <f>IF($E$8="","",VLOOKUP($E$8,'BD Personal'!$A$6:$R$64,17,FALSE))</f>
        <v>34</v>
      </c>
      <c r="L10" s="258"/>
      <c r="M10" s="258"/>
      <c r="N10" s="252" t="s">
        <v>29</v>
      </c>
      <c r="O10" s="252"/>
      <c r="P10" s="259">
        <f>IF($E$8="","",VLOOKUP($E$8,'BD Personal'!$A$6:$R$64,18,FALSE))</f>
        <v>3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Jaguey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7" t="s">
        <v>40</v>
      </c>
      <c r="C13" s="188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85">
        <v>0.75</v>
      </c>
      <c r="E19" s="186">
        <v>0.25</v>
      </c>
      <c r="F19" s="109">
        <v>1</v>
      </c>
      <c r="G19" s="110">
        <v>1</v>
      </c>
      <c r="H19" s="111"/>
      <c r="I19" s="112"/>
      <c r="J19" s="112"/>
      <c r="K19" s="112"/>
      <c r="L19" s="112">
        <v>3</v>
      </c>
      <c r="M19" s="112"/>
      <c r="N19" s="112">
        <v>5</v>
      </c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0.75</v>
      </c>
      <c r="E21" s="186">
        <v>0.25</v>
      </c>
      <c r="F21" s="109">
        <v>1</v>
      </c>
      <c r="G21" s="110">
        <v>1</v>
      </c>
      <c r="H21" s="111"/>
      <c r="I21" s="112"/>
      <c r="J21" s="112"/>
      <c r="K21" s="112"/>
      <c r="L21" s="112">
        <v>3</v>
      </c>
      <c r="M21" s="112"/>
      <c r="N21" s="112">
        <v>5</v>
      </c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85">
        <v>0.75</v>
      </c>
      <c r="E22" s="186">
        <v>0.25</v>
      </c>
      <c r="F22" s="109">
        <v>1</v>
      </c>
      <c r="G22" s="110">
        <v>1</v>
      </c>
      <c r="H22" s="111"/>
      <c r="I22" s="112"/>
      <c r="J22" s="112"/>
      <c r="K22" s="112"/>
      <c r="L22" s="112">
        <v>5</v>
      </c>
      <c r="M22" s="112">
        <v>3</v>
      </c>
      <c r="N22" s="112">
        <v>3</v>
      </c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85">
        <v>0.75</v>
      </c>
      <c r="E29" s="186">
        <v>0.25</v>
      </c>
      <c r="F29" s="109">
        <v>1</v>
      </c>
      <c r="G29" s="110">
        <v>1</v>
      </c>
      <c r="H29" s="111"/>
      <c r="I29" s="112"/>
      <c r="J29" s="112"/>
      <c r="K29" s="112"/>
      <c r="L29" s="112"/>
      <c r="M29" s="112">
        <v>2</v>
      </c>
      <c r="N29" s="112">
        <v>8</v>
      </c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11</v>
      </c>
      <c r="M45" s="123">
        <f t="shared" si="2"/>
        <v>5</v>
      </c>
      <c r="N45" s="123">
        <f t="shared" si="2"/>
        <v>21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7" t="s">
        <v>40</v>
      </c>
      <c r="C49" s="188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11</v>
      </c>
      <c r="M56" s="80">
        <f t="shared" si="3"/>
        <v>5</v>
      </c>
      <c r="N56" s="80">
        <f t="shared" si="3"/>
        <v>21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88" t="s">
        <v>49</v>
      </c>
      <c r="E59" s="188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11</v>
      </c>
      <c r="F64" s="87">
        <f>IF(E64=0,"",D64*E64*(VLOOKUP($E$8,'BD Personal'!$A$6:$R$64,12,FALSE)/240))</f>
        <v>44689.837499999994</v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5</v>
      </c>
      <c r="F65" s="87">
        <f>IF(E65=0,"",D65*E65*(VLOOKUP($E$8,'BD Personal'!$A$6:$R$64,12,FALSE)/240))</f>
        <v>101567.8125</v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21</v>
      </c>
      <c r="F66" s="87">
        <f>IF(E66=0,"",D66*E66*(VLOOKUP($E$8,'BD Personal'!$A$6:$R$64,12,FALSE)/240))</f>
        <v>511901.77500000002</v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658159.42500000005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20284B-9DB7-46AD-88F7-9E7A2CCDE3E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9E26C17-886C-4F47-B69A-C5290FF4B51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05625-81EC-44EF-9E4F-97E1F55C3A16}">
  <sheetPr codeName="Hoja8">
    <pageSetUpPr fitToPage="1"/>
  </sheetPr>
  <dimension ref="A1:X79"/>
  <sheetViews>
    <sheetView showGridLines="0" tabSelected="1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pollo perez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Femenino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7342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9897000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Finanzas</v>
      </c>
      <c r="L8" s="258"/>
      <c r="M8" s="258"/>
      <c r="N8" s="252" t="s">
        <v>23</v>
      </c>
      <c r="O8" s="252"/>
      <c r="P8" s="264" t="str">
        <f>IF($E$8="","",VLOOKUP($E$8,'BD Personal'!$A$6:$R$64,10,FALSE))</f>
        <v>04/06/2020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5 X 2 8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>001</v>
      </c>
      <c r="L10" s="258"/>
      <c r="M10" s="258"/>
      <c r="N10" s="252" t="s">
        <v>29</v>
      </c>
      <c r="O10" s="252"/>
      <c r="P10" s="259" t="str">
        <f>IF($E$8="","",VLOOKUP($E$8,'BD Personal'!$A$6:$R$64,18,FALSE))</f>
        <v>1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Calle 127 - Bogota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9" t="s">
        <v>40</v>
      </c>
      <c r="C13" s="19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0.42708333333333331</v>
      </c>
      <c r="E21" s="186">
        <v>2.0833333333333332E-2</v>
      </c>
      <c r="F21" s="109">
        <v>1</v>
      </c>
      <c r="G21" s="110"/>
      <c r="H21" s="111">
        <v>9.75</v>
      </c>
      <c r="I21" s="112">
        <v>3</v>
      </c>
      <c r="J21" s="112"/>
      <c r="K21" s="112">
        <v>0.5</v>
      </c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85">
        <v>0.66666666666666663</v>
      </c>
      <c r="E28" s="186">
        <v>0.70833333333333337</v>
      </c>
      <c r="F28" s="109"/>
      <c r="G28" s="110"/>
      <c r="H28" s="111">
        <v>1</v>
      </c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10.75</v>
      </c>
      <c r="I45" s="123">
        <f t="shared" ref="I45:O45" si="2">SUM(I14:I44)</f>
        <v>3</v>
      </c>
      <c r="J45" s="123">
        <f t="shared" si="2"/>
        <v>0</v>
      </c>
      <c r="K45" s="123">
        <f t="shared" si="2"/>
        <v>0.5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9" t="s">
        <v>40</v>
      </c>
      <c r="C49" s="19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10.75</v>
      </c>
      <c r="I56" s="80">
        <f t="shared" ref="I56:O56" si="3">+I45+I50+I51+I52+I53+I54</f>
        <v>3</v>
      </c>
      <c r="J56" s="80">
        <f t="shared" si="3"/>
        <v>0</v>
      </c>
      <c r="K56" s="80">
        <f t="shared" si="3"/>
        <v>0.5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90" t="s">
        <v>49</v>
      </c>
      <c r="E59" s="19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10.75</v>
      </c>
      <c r="F60" s="87">
        <f>IF(E60=0,"",D60*E60*(VLOOKUP($E$8,'BD Personal'!$A$6:$R$64,12,FALSE)/240))</f>
        <v>100781.25</v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3</v>
      </c>
      <c r="F61" s="87">
        <f>IF(E61=0,"",D61*E61*(VLOOKUP($E$8,'BD Personal'!$A$6:$R$64,12,FALSE)/240))</f>
        <v>39375</v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0.5</v>
      </c>
      <c r="F63" s="87">
        <f>IF(E63=0,"",D63*E63*(VLOOKUP($E$8,'BD Personal'!$A$6:$R$64,12,FALSE)/240))</f>
        <v>9375</v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149531.25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17A3E9-2711-4D53-B01E-1FDFA856EF8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E75D6C5-152B-4BCE-9324-ABCF94E0276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9</vt:i4>
      </vt:variant>
    </vt:vector>
  </HeadingPairs>
  <TitlesOfParts>
    <vt:vector size="17" baseType="lpstr">
      <vt:lpstr>Plantilla</vt:lpstr>
      <vt:lpstr>PlantillaProasem</vt:lpstr>
      <vt:lpstr>BD</vt:lpstr>
      <vt:lpstr>Planilla Consolidada</vt:lpstr>
      <vt:lpstr>Cronograma</vt:lpstr>
      <vt:lpstr>BD Personal</vt:lpstr>
      <vt:lpstr>Polania Ardila</vt:lpstr>
      <vt:lpstr>perez</vt:lpstr>
      <vt:lpstr>perez!Área_de_impresión</vt:lpstr>
      <vt:lpstr>Plantilla!Área_de_impresión</vt:lpstr>
      <vt:lpstr>PlantillaProasem!Área_de_impresión</vt:lpstr>
      <vt:lpstr>'Polania Ardila'!Área_de_impresión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2020-07-08T20:02:03Z</dcterms:modified>
</cp:coreProperties>
</file>