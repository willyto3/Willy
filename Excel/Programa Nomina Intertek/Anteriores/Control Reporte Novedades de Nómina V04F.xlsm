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066F029E-104E-4741-A17E-019A8B329679}" xr6:coauthVersionLast="44" xr6:coauthVersionMax="44" xr10:uidLastSave="{00000000-0000-0000-0000-000000000000}"/>
  <bookViews>
    <workbookView xWindow="-120" yWindow="-120" windowWidth="20730" windowHeight="11160" firstSheet="1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erez" sheetId="28" r:id="rId7"/>
  </sheets>
  <definedNames>
    <definedName name="_xlnm._FilterDatabase" localSheetId="5" hidden="1">'BD Personal'!$A$5:$R$5</definedName>
    <definedName name="_xlnm._FilterDatabase" localSheetId="6" hidden="1">perez!$A$13:$U$42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6">perez!$A$1:$R$78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6" hidden="1">perez!$B$12:$Q$45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6" hidden="1">perez!$A$1:$Q$57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28" l="1"/>
  <c r="B66" i="28"/>
  <c r="B65" i="28"/>
  <c r="B64" i="28"/>
  <c r="B63" i="28"/>
  <c r="B62" i="28"/>
  <c r="B61" i="28"/>
  <c r="B60" i="28"/>
  <c r="O45" i="28"/>
  <c r="O56" i="28" s="1"/>
  <c r="E67" i="28" s="1"/>
  <c r="F67" i="28" s="1"/>
  <c r="N45" i="28"/>
  <c r="N56" i="28" s="1"/>
  <c r="E66" i="28" s="1"/>
  <c r="F66" i="28" s="1"/>
  <c r="M45" i="28"/>
  <c r="M56" i="28" s="1"/>
  <c r="E65" i="28" s="1"/>
  <c r="F65" i="28" s="1"/>
  <c r="L45" i="28"/>
  <c r="L56" i="28" s="1"/>
  <c r="E64" i="28" s="1"/>
  <c r="F64" i="28" s="1"/>
  <c r="K45" i="28"/>
  <c r="K56" i="28" s="1"/>
  <c r="E63" i="28" s="1"/>
  <c r="F63" i="28" s="1"/>
  <c r="J45" i="28"/>
  <c r="J56" i="28" s="1"/>
  <c r="E62" i="28" s="1"/>
  <c r="F62" i="28" s="1"/>
  <c r="I45" i="28"/>
  <c r="I56" i="28" s="1"/>
  <c r="E61" i="28" s="1"/>
  <c r="F61" i="28" s="1"/>
  <c r="H45" i="28"/>
  <c r="H56" i="28" s="1"/>
  <c r="E60" i="28" s="1"/>
  <c r="F60" i="28" s="1"/>
  <c r="C14" i="28"/>
  <c r="B14" i="28"/>
  <c r="B15" i="28" s="1"/>
  <c r="K11" i="28"/>
  <c r="E11" i="28"/>
  <c r="P10" i="28"/>
  <c r="K10" i="28"/>
  <c r="E10" i="28"/>
  <c r="K9" i="28"/>
  <c r="E9" i="28"/>
  <c r="P8" i="28"/>
  <c r="K8" i="28"/>
  <c r="P7" i="28"/>
  <c r="K7" i="28"/>
  <c r="E7" i="28"/>
  <c r="P1" i="28"/>
  <c r="F69" i="28" l="1"/>
  <c r="B16" i="28"/>
  <c r="C15" i="28"/>
  <c r="F8" i="1"/>
  <c r="B17" i="28" l="1"/>
  <c r="C16" i="28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B18" i="28" l="1"/>
  <c r="C17" i="28"/>
  <c r="F69" i="26"/>
  <c r="C24" i="23"/>
  <c r="C23" i="23"/>
  <c r="B19" i="28" l="1"/>
  <c r="C18" i="28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B20" i="28" l="1"/>
  <c r="C19" i="28"/>
  <c r="P1" i="10"/>
  <c r="B21" i="28" l="1"/>
  <c r="C20" i="28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K10" i="23"/>
  <c r="J10" i="23"/>
  <c r="L10" i="23"/>
  <c r="N10" i="23"/>
  <c r="I10" i="23"/>
  <c r="S10" i="23"/>
  <c r="M10" i="23"/>
  <c r="G10" i="23"/>
  <c r="H10" i="23"/>
  <c r="G9" i="23"/>
  <c r="J9" i="23"/>
  <c r="N9" i="23"/>
  <c r="I9" i="23"/>
  <c r="L9" i="23"/>
  <c r="H9" i="23"/>
  <c r="M9" i="23"/>
  <c r="K9" i="23"/>
  <c r="B22" i="28" l="1"/>
  <c r="C21" i="28"/>
  <c r="K11" i="10"/>
  <c r="D5" i="23" s="1"/>
  <c r="B23" i="28" l="1"/>
  <c r="C22" i="28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4" i="28" l="1"/>
  <c r="C23" i="28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5" i="28" l="1"/>
  <c r="C24" i="28"/>
  <c r="B14" i="26"/>
  <c r="B15" i="26" s="1"/>
  <c r="B14" i="10"/>
  <c r="C14" i="10" s="1"/>
  <c r="F6" i="1"/>
  <c r="B26" i="28" l="1"/>
  <c r="C25" i="28"/>
  <c r="C14" i="26"/>
  <c r="B16" i="26"/>
  <c r="C15" i="26"/>
  <c r="B15" i="10"/>
  <c r="B16" i="10" s="1"/>
  <c r="H8" i="1"/>
  <c r="B27" i="28" l="1"/>
  <c r="C26" i="28"/>
  <c r="B17" i="26"/>
  <c r="C16" i="26"/>
  <c r="C15" i="10"/>
  <c r="B17" i="10"/>
  <c r="C16" i="10"/>
  <c r="I8" i="1"/>
  <c r="G6" i="1"/>
  <c r="B28" i="28" l="1"/>
  <c r="C27" i="28"/>
  <c r="C17" i="26"/>
  <c r="B18" i="26"/>
  <c r="B18" i="10"/>
  <c r="C17" i="10"/>
  <c r="J8" i="1"/>
  <c r="H6" i="1"/>
  <c r="B29" i="28" l="1"/>
  <c r="C28" i="28"/>
  <c r="B19" i="26"/>
  <c r="C18" i="26"/>
  <c r="B19" i="10"/>
  <c r="C18" i="10"/>
  <c r="K8" i="1"/>
  <c r="I6" i="1"/>
  <c r="B30" i="28" l="1"/>
  <c r="C29" i="28"/>
  <c r="B20" i="26"/>
  <c r="C19" i="26"/>
  <c r="B20" i="10"/>
  <c r="C19" i="10"/>
  <c r="L8" i="1"/>
  <c r="J6" i="1"/>
  <c r="B31" i="28" l="1"/>
  <c r="C30" i="28"/>
  <c r="B21" i="26"/>
  <c r="C20" i="26"/>
  <c r="B21" i="10"/>
  <c r="C20" i="10"/>
  <c r="M8" i="1"/>
  <c r="K6" i="1"/>
  <c r="B32" i="28" l="1"/>
  <c r="C31" i="28"/>
  <c r="C21" i="26"/>
  <c r="B22" i="26"/>
  <c r="B22" i="10"/>
  <c r="C21" i="10"/>
  <c r="N8" i="1"/>
  <c r="L6" i="1"/>
  <c r="B33" i="28" l="1"/>
  <c r="C32" i="28"/>
  <c r="B23" i="26"/>
  <c r="C22" i="26"/>
  <c r="B23" i="10"/>
  <c r="C22" i="10"/>
  <c r="O8" i="1"/>
  <c r="M6" i="1"/>
  <c r="B34" i="28" l="1"/>
  <c r="C33" i="28"/>
  <c r="C23" i="26"/>
  <c r="B24" i="26"/>
  <c r="B24" i="10"/>
  <c r="C23" i="10"/>
  <c r="P8" i="1"/>
  <c r="N6" i="1"/>
  <c r="B35" i="28" l="1"/>
  <c r="C34" i="28"/>
  <c r="B25" i="26"/>
  <c r="C24" i="26"/>
  <c r="B25" i="10"/>
  <c r="C24" i="10"/>
  <c r="Q8" i="1"/>
  <c r="O6" i="1"/>
  <c r="B36" i="28" l="1"/>
  <c r="C35" i="28"/>
  <c r="B26" i="26"/>
  <c r="C25" i="26"/>
  <c r="B26" i="10"/>
  <c r="C25" i="10"/>
  <c r="R8" i="1"/>
  <c r="P6" i="1"/>
  <c r="B37" i="28" l="1"/>
  <c r="C36" i="28"/>
  <c r="B27" i="26"/>
  <c r="C26" i="26"/>
  <c r="B27" i="10"/>
  <c r="C26" i="10"/>
  <c r="S8" i="1"/>
  <c r="Q6" i="1"/>
  <c r="B38" i="28" l="1"/>
  <c r="C37" i="28"/>
  <c r="C27" i="26"/>
  <c r="B28" i="26"/>
  <c r="B28" i="10"/>
  <c r="C27" i="10"/>
  <c r="T8" i="1"/>
  <c r="R6" i="1"/>
  <c r="B39" i="28" l="1"/>
  <c r="C38" i="28"/>
  <c r="B29" i="26"/>
  <c r="C28" i="26"/>
  <c r="B29" i="10"/>
  <c r="C28" i="10"/>
  <c r="U8" i="1"/>
  <c r="S6" i="1"/>
  <c r="B40" i="28" l="1"/>
  <c r="C39" i="28"/>
  <c r="C29" i="26"/>
  <c r="B30" i="26"/>
  <c r="B30" i="10"/>
  <c r="C29" i="10"/>
  <c r="V8" i="1"/>
  <c r="T6" i="1"/>
  <c r="B41" i="28" l="1"/>
  <c r="C40" i="28"/>
  <c r="B31" i="26"/>
  <c r="C30" i="26"/>
  <c r="B31" i="10"/>
  <c r="C30" i="10"/>
  <c r="W8" i="1"/>
  <c r="U6" i="1"/>
  <c r="B42" i="28" l="1"/>
  <c r="C41" i="28"/>
  <c r="B32" i="26"/>
  <c r="C31" i="26"/>
  <c r="B32" i="10"/>
  <c r="C31" i="10"/>
  <c r="X8" i="1"/>
  <c r="V6" i="1"/>
  <c r="B43" i="28" l="1"/>
  <c r="C42" i="28"/>
  <c r="B33" i="26"/>
  <c r="C32" i="26"/>
  <c r="B33" i="10"/>
  <c r="C32" i="10"/>
  <c r="Y8" i="1"/>
  <c r="W6" i="1"/>
  <c r="B44" i="28" l="1"/>
  <c r="C44" i="28" s="1"/>
  <c r="C43" i="28"/>
  <c r="C33" i="26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<sst xmlns="http://schemas.openxmlformats.org/spreadsheetml/2006/main" count="792" uniqueCount="300">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</sst>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1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46" fontId="31" fillId="0" borderId="6" xfId="1" applyNumberFormat="1" applyFont="1" applyBorder="1" applyAlignment="1" applyProtection="1">
      <alignment horizontal="center" vertical="center"/>
      <protection hidden="1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12" fillId="0" borderId="0" xfId="1" applyFont="1" applyAlignment="1" applyProtection="1">
      <alignment horizontal="left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9A4633-C598-4775-8142-4741D871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6" dataDxfId="24" headerRowBorderDxfId="25" tableBorderDxfId="23" totalsRowBorderDxfId="22">
  <autoFilter ref="A5:R60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5" t="s">
        <v>16</v>
      </c>
      <c r="C2" s="266"/>
      <c r="D2" s="267"/>
      <c r="E2" s="274" t="s">
        <v>17</v>
      </c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6"/>
      <c r="R2" s="1"/>
      <c r="S2" s="3"/>
      <c r="T2" s="3"/>
      <c r="U2" s="3"/>
      <c r="V2" s="1"/>
    </row>
    <row r="3" spans="1:24" ht="15.75" customHeight="1" x14ac:dyDescent="0.25">
      <c r="A3" s="1"/>
      <c r="B3" s="268"/>
      <c r="C3" s="269"/>
      <c r="D3" s="270"/>
      <c r="E3" s="277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9"/>
      <c r="R3" s="1"/>
      <c r="S3" s="4"/>
      <c r="T3" s="1"/>
      <c r="U3" s="1"/>
      <c r="V3" s="1"/>
    </row>
    <row r="4" spans="1:24" ht="15.75" customHeight="1" x14ac:dyDescent="0.25">
      <c r="A4" s="1"/>
      <c r="B4" s="268"/>
      <c r="C4" s="269"/>
      <c r="D4" s="270"/>
      <c r="E4" s="277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9"/>
      <c r="R4" s="1"/>
      <c r="S4" s="4"/>
      <c r="T4" s="1"/>
      <c r="U4" s="1"/>
      <c r="V4" s="1"/>
    </row>
    <row r="5" spans="1:24" ht="15.75" customHeight="1" thickBot="1" x14ac:dyDescent="0.3">
      <c r="A5" s="1"/>
      <c r="B5" s="271"/>
      <c r="C5" s="272"/>
      <c r="D5" s="273"/>
      <c r="E5" s="280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1" t="s">
        <v>18</v>
      </c>
      <c r="D7" s="251"/>
      <c r="E7" s="257" t="str">
        <f>IF($E$8="","",VLOOKUP($E$8,'BD Personal'!$A$6:$R$64,3,FALSE))&amp;" "&amp;IF($E$8="","",VLOOKUP($E$8,'BD Personal'!$A$6:$R$64,4,FALSE))</f>
        <v xml:space="preserve"> </v>
      </c>
      <c r="F7" s="257"/>
      <c r="G7" s="257"/>
      <c r="H7" s="257"/>
      <c r="I7" s="251" t="s">
        <v>19</v>
      </c>
      <c r="J7" s="251"/>
      <c r="K7" s="257" t="str">
        <f>IF($E$8="","",VLOOKUP($E$8,'BD Personal'!$A$6:$R$64,2,FALSE))</f>
        <v/>
      </c>
      <c r="L7" s="257"/>
      <c r="M7" s="257"/>
      <c r="N7" s="251" t="s">
        <v>20</v>
      </c>
      <c r="O7" s="251"/>
      <c r="P7" s="283" t="str">
        <f ca="1">IF($E$8="","",TODAY()-VLOOKUP($E$8,'BD Personal'!$A$6:$R$64,8,FALSE))</f>
        <v/>
      </c>
      <c r="Q7" s="284"/>
      <c r="S7" s="4"/>
    </row>
    <row r="8" spans="1:24" ht="26.1" customHeight="1" x14ac:dyDescent="0.25">
      <c r="B8" s="130"/>
      <c r="C8" s="251" t="s">
        <v>21</v>
      </c>
      <c r="D8" s="251"/>
      <c r="E8" s="262"/>
      <c r="F8" s="262"/>
      <c r="G8" s="262"/>
      <c r="H8" s="262"/>
      <c r="I8" s="251" t="s">
        <v>22</v>
      </c>
      <c r="J8" s="251"/>
      <c r="K8" s="257" t="str">
        <f>IF($E$8="","",VLOOKUP($E$8,'BD Personal'!$A$6:$R$64,11,FALSE))</f>
        <v/>
      </c>
      <c r="L8" s="257"/>
      <c r="M8" s="257"/>
      <c r="N8" s="251" t="s">
        <v>23</v>
      </c>
      <c r="O8" s="251"/>
      <c r="P8" s="263" t="str">
        <f>IF($E$8="","",VLOOKUP($E$8,'BD Personal'!$A$6:$R$64,10,FALSE))</f>
        <v/>
      </c>
      <c r="Q8" s="264"/>
      <c r="S8" s="4"/>
      <c r="T8" s="6"/>
      <c r="U8" s="285"/>
      <c r="V8" s="285"/>
      <c r="W8" s="285"/>
      <c r="X8" s="2"/>
    </row>
    <row r="9" spans="1:24" ht="26.1" customHeight="1" x14ac:dyDescent="0.2">
      <c r="B9" s="130"/>
      <c r="C9" s="251" t="s">
        <v>24</v>
      </c>
      <c r="D9" s="251"/>
      <c r="E9" s="257" t="str">
        <f>IF($E$8="","",VLOOKUP($E$8,'BD Personal'!$A$6:$R$64,13,FALSE))</f>
        <v/>
      </c>
      <c r="F9" s="257"/>
      <c r="G9" s="257"/>
      <c r="H9" s="257"/>
      <c r="I9" s="251" t="s">
        <v>25</v>
      </c>
      <c r="J9" s="251"/>
      <c r="K9" s="257" t="str">
        <f>IF($E$8="","",VLOOKUP($E$8,'BD Personal'!$A$6:$R$64,14,FALSE))</f>
        <v/>
      </c>
      <c r="L9" s="257"/>
      <c r="M9" s="257"/>
      <c r="N9" s="260" t="s">
        <v>26</v>
      </c>
      <c r="O9" s="260"/>
      <c r="P9" s="258"/>
      <c r="Q9" s="259"/>
      <c r="S9" s="4"/>
      <c r="T9" s="7"/>
      <c r="U9" s="7"/>
      <c r="V9" s="261"/>
      <c r="W9" s="261"/>
      <c r="X9" s="261"/>
    </row>
    <row r="10" spans="1:24" ht="26.1" customHeight="1" x14ac:dyDescent="0.25">
      <c r="B10" s="130"/>
      <c r="C10" s="251" t="s">
        <v>27</v>
      </c>
      <c r="D10" s="251"/>
      <c r="E10" s="256" t="str">
        <f>IF($E$8="","",VLOOKUP($E$8,'BD Personal'!$A$6:$R$64,15,FALSE))</f>
        <v/>
      </c>
      <c r="F10" s="256"/>
      <c r="G10" s="256"/>
      <c r="H10" s="256"/>
      <c r="I10" s="251" t="s">
        <v>28</v>
      </c>
      <c r="J10" s="251"/>
      <c r="K10" s="257" t="str">
        <f>IF($E$8="","",VLOOKUP($E$8,'BD Personal'!$A$6:$R$64,17,FALSE))</f>
        <v/>
      </c>
      <c r="L10" s="257"/>
      <c r="M10" s="257"/>
      <c r="N10" s="251" t="s">
        <v>29</v>
      </c>
      <c r="O10" s="251"/>
      <c r="P10" s="258" t="str">
        <f>IF($E$8="","",VLOOKUP($E$8,'BD Personal'!$A$6:$R$64,18,FALSE))</f>
        <v/>
      </c>
      <c r="Q10" s="259"/>
      <c r="S10" s="4"/>
      <c r="T10" s="8"/>
      <c r="U10" s="250"/>
      <c r="V10" s="250"/>
      <c r="W10" s="250"/>
      <c r="X10" s="2"/>
    </row>
    <row r="11" spans="1:24" ht="26.1" customHeight="1" thickBot="1" x14ac:dyDescent="0.25">
      <c r="B11" s="130"/>
      <c r="C11" s="251" t="s">
        <v>30</v>
      </c>
      <c r="D11" s="251"/>
      <c r="E11" s="252" t="str">
        <f>IF($E$8="","",VLOOKUP($E$8,'BD Personal'!$A$6:$R$64,16,FALSE))</f>
        <v/>
      </c>
      <c r="F11" s="252"/>
      <c r="G11" s="252"/>
      <c r="H11" s="252"/>
      <c r="I11" s="253" t="s">
        <v>31</v>
      </c>
      <c r="J11" s="253"/>
      <c r="K11" s="254" t="str">
        <f>Cronograma!B6</f>
        <v>JUNIO</v>
      </c>
      <c r="L11" s="254"/>
      <c r="M11" s="254"/>
      <c r="N11" s="131"/>
      <c r="O11" s="132"/>
      <c r="P11" s="133"/>
      <c r="Q11" s="134"/>
      <c r="S11" s="4"/>
      <c r="T11" s="7"/>
      <c r="U11" s="2"/>
      <c r="V11" s="255"/>
      <c r="W11" s="255"/>
      <c r="X11" s="255"/>
    </row>
    <row r="12" spans="1:24" ht="27.75" customHeight="1" x14ac:dyDescent="0.25">
      <c r="A12" s="1"/>
      <c r="B12" s="242" t="s">
        <v>32</v>
      </c>
      <c r="C12" s="243"/>
      <c r="D12" s="243" t="s">
        <v>33</v>
      </c>
      <c r="E12" s="243"/>
      <c r="F12" s="228" t="s">
        <v>2</v>
      </c>
      <c r="G12" s="228" t="s">
        <v>176</v>
      </c>
      <c r="H12" s="228" t="s">
        <v>3</v>
      </c>
      <c r="I12" s="228" t="s">
        <v>4</v>
      </c>
      <c r="J12" s="228" t="s">
        <v>34</v>
      </c>
      <c r="K12" s="228" t="s">
        <v>35</v>
      </c>
      <c r="L12" s="228" t="s">
        <v>36</v>
      </c>
      <c r="M12" s="228" t="s">
        <v>37</v>
      </c>
      <c r="N12" s="228" t="s">
        <v>38</v>
      </c>
      <c r="O12" s="230" t="s">
        <v>5</v>
      </c>
      <c r="P12" s="244" t="s">
        <v>39</v>
      </c>
      <c r="Q12" s="245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9"/>
      <c r="G13" s="229"/>
      <c r="H13" s="229"/>
      <c r="I13" s="229"/>
      <c r="J13" s="229"/>
      <c r="K13" s="229"/>
      <c r="L13" s="229"/>
      <c r="M13" s="229"/>
      <c r="N13" s="229"/>
      <c r="O13" s="231"/>
      <c r="P13" s="246"/>
      <c r="Q13" s="247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43983</v>
      </c>
      <c r="C14" s="97" t="str">
        <f t="shared" ref="C14:C44" si="0">TEXT(B14, "dddd")</f>
        <v>lunes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8"/>
      <c r="Q14" s="24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43984</v>
      </c>
      <c r="C15" s="106" t="str">
        <f t="shared" si="0"/>
        <v>martes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2"/>
      <c r="Q15" s="233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43985</v>
      </c>
      <c r="C16" s="106" t="str">
        <f t="shared" si="0"/>
        <v>miércoles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2"/>
      <c r="Q16" s="233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43986</v>
      </c>
      <c r="C17" s="106" t="str">
        <f t="shared" si="0"/>
        <v>jueves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2"/>
      <c r="Q17" s="233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43987</v>
      </c>
      <c r="C18" s="106" t="str">
        <f t="shared" si="0"/>
        <v>viernes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2"/>
      <c r="Q18" s="233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43988</v>
      </c>
      <c r="C19" s="106" t="str">
        <f t="shared" si="0"/>
        <v>sábado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2"/>
      <c r="Q19" s="233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43989</v>
      </c>
      <c r="C20" s="106" t="str">
        <f t="shared" si="0"/>
        <v>domingo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2"/>
      <c r="Q20" s="233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43990</v>
      </c>
      <c r="C21" s="106" t="str">
        <f t="shared" si="0"/>
        <v>lunes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2"/>
      <c r="Q21" s="233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43991</v>
      </c>
      <c r="C22" s="106" t="str">
        <f t="shared" si="0"/>
        <v>martes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2"/>
      <c r="Q22" s="233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43992</v>
      </c>
      <c r="C23" s="106" t="str">
        <f t="shared" si="0"/>
        <v>miércoles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2"/>
      <c r="Q23" s="233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43993</v>
      </c>
      <c r="C24" s="106" t="str">
        <f t="shared" si="0"/>
        <v>jueves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2"/>
      <c r="Q24" s="233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43994</v>
      </c>
      <c r="C25" s="106" t="str">
        <f t="shared" si="0"/>
        <v>viernes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2"/>
      <c r="Q25" s="233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43995</v>
      </c>
      <c r="C26" s="106" t="str">
        <f t="shared" si="0"/>
        <v>sábado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2"/>
      <c r="Q26" s="233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43996</v>
      </c>
      <c r="C27" s="106" t="str">
        <f t="shared" si="0"/>
        <v>domingo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2"/>
      <c r="Q27" s="233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43997</v>
      </c>
      <c r="C28" s="106" t="str">
        <f t="shared" si="0"/>
        <v>lunes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2"/>
      <c r="Q28" s="233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43998</v>
      </c>
      <c r="C29" s="106" t="str">
        <f t="shared" si="0"/>
        <v>martes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2"/>
      <c r="Q29" s="233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43999</v>
      </c>
      <c r="C30" s="106" t="str">
        <f t="shared" si="0"/>
        <v>miércoles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2"/>
      <c r="Q30" s="233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44000</v>
      </c>
      <c r="C31" s="106" t="str">
        <f t="shared" si="0"/>
        <v>jueves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2"/>
      <c r="Q31" s="233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44001</v>
      </c>
      <c r="C32" s="106" t="str">
        <f t="shared" si="0"/>
        <v>viernes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2"/>
      <c r="Q32" s="233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44002</v>
      </c>
      <c r="C33" s="106" t="str">
        <f t="shared" si="0"/>
        <v>sábado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2"/>
      <c r="Q33" s="233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44003</v>
      </c>
      <c r="C34" s="106" t="str">
        <f t="shared" si="0"/>
        <v>domingo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2"/>
      <c r="Q34" s="233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44004</v>
      </c>
      <c r="C35" s="106" t="str">
        <f t="shared" si="0"/>
        <v>lunes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2"/>
      <c r="Q35" s="233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44005</v>
      </c>
      <c r="C36" s="106" t="str">
        <f t="shared" si="0"/>
        <v>martes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2"/>
      <c r="Q36" s="233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44006</v>
      </c>
      <c r="C37" s="106" t="str">
        <f t="shared" si="0"/>
        <v>miércoles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2"/>
      <c r="Q37" s="233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44007</v>
      </c>
      <c r="C38" s="106" t="str">
        <f t="shared" si="0"/>
        <v>jueves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2"/>
      <c r="Q38" s="233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44008</v>
      </c>
      <c r="C39" s="106" t="str">
        <f t="shared" si="0"/>
        <v>viernes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2"/>
      <c r="Q39" s="233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44009</v>
      </c>
      <c r="C40" s="106" t="str">
        <f t="shared" si="0"/>
        <v>sábado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2"/>
      <c r="Q40" s="233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44010</v>
      </c>
      <c r="C41" s="106" t="str">
        <f t="shared" si="0"/>
        <v>domingo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2"/>
      <c r="Q41" s="233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44011</v>
      </c>
      <c r="C42" s="106" t="str">
        <f t="shared" si="0"/>
        <v>lunes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2"/>
      <c r="Q42" s="233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44012</v>
      </c>
      <c r="C43" s="106" t="str">
        <f t="shared" si="0"/>
        <v>martes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2"/>
      <c r="Q43" s="233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44013</v>
      </c>
      <c r="C44" s="114" t="str">
        <f t="shared" si="0"/>
        <v>miércoles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42" t="s">
        <v>32</v>
      </c>
      <c r="C48" s="243"/>
      <c r="D48" s="243" t="s">
        <v>33</v>
      </c>
      <c r="E48" s="243"/>
      <c r="F48" s="228" t="s">
        <v>2</v>
      </c>
      <c r="G48" s="228" t="s">
        <v>176</v>
      </c>
      <c r="H48" s="228" t="s">
        <v>3</v>
      </c>
      <c r="I48" s="228" t="s">
        <v>4</v>
      </c>
      <c r="J48" s="228" t="s">
        <v>34</v>
      </c>
      <c r="K48" s="228" t="s">
        <v>35</v>
      </c>
      <c r="L48" s="228" t="s">
        <v>36</v>
      </c>
      <c r="M48" s="228" t="s">
        <v>37</v>
      </c>
      <c r="N48" s="228" t="s">
        <v>38</v>
      </c>
      <c r="O48" s="230" t="s">
        <v>5</v>
      </c>
      <c r="P48" s="244" t="s">
        <v>39</v>
      </c>
      <c r="Q48" s="245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9"/>
      <c r="G49" s="229"/>
      <c r="H49" s="229"/>
      <c r="I49" s="229"/>
      <c r="J49" s="229"/>
      <c r="K49" s="229"/>
      <c r="L49" s="229"/>
      <c r="M49" s="229"/>
      <c r="N49" s="229"/>
      <c r="O49" s="231"/>
      <c r="P49" s="246"/>
      <c r="Q49" s="247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2"/>
      <c r="Q50" s="22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4"/>
      <c r="Q51" s="22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4"/>
      <c r="Q52" s="22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4"/>
      <c r="Q53" s="22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6"/>
      <c r="Q54" s="22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7" t="s">
        <v>12</v>
      </c>
      <c r="C56" s="198"/>
      <c r="D56" s="198"/>
      <c r="E56" s="198"/>
      <c r="F56" s="198"/>
      <c r="G56" s="199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0" t="s">
        <v>46</v>
      </c>
      <c r="C58" s="201"/>
      <c r="D58" s="201"/>
      <c r="E58" s="201"/>
      <c r="F58" s="202"/>
      <c r="H58" s="203" t="s">
        <v>47</v>
      </c>
      <c r="I58" s="204"/>
      <c r="J58" s="204"/>
      <c r="K58" s="204"/>
      <c r="L58" s="204"/>
      <c r="M58" s="204"/>
      <c r="N58" s="204"/>
      <c r="O58" s="204"/>
      <c r="P58" s="204"/>
      <c r="Q58" s="205"/>
      <c r="R58" s="5"/>
      <c r="S58" s="5"/>
      <c r="U58" s="1"/>
      <c r="V58" s="1"/>
    </row>
    <row r="59" spans="1:22" s="13" customFormat="1" ht="22.5" customHeight="1" thickBot="1" x14ac:dyDescent="0.3">
      <c r="B59" s="209" t="s">
        <v>48</v>
      </c>
      <c r="C59" s="210"/>
      <c r="D59" s="10" t="s">
        <v>49</v>
      </c>
      <c r="E59" s="10" t="s">
        <v>50</v>
      </c>
      <c r="F59" s="14" t="s">
        <v>51</v>
      </c>
      <c r="H59" s="206"/>
      <c r="I59" s="207"/>
      <c r="J59" s="207"/>
      <c r="K59" s="207"/>
      <c r="L59" s="207"/>
      <c r="M59" s="207"/>
      <c r="N59" s="207"/>
      <c r="O59" s="207"/>
      <c r="P59" s="207"/>
      <c r="Q59" s="208"/>
    </row>
    <row r="60" spans="1:22" ht="17.25" customHeight="1" x14ac:dyDescent="0.25">
      <c r="A60" s="1"/>
      <c r="B60" s="211" t="str">
        <f>+H12</f>
        <v xml:space="preserve"> EXT. DIURNA 1.25</v>
      </c>
      <c r="C60" s="212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3"/>
      <c r="I60" s="214"/>
      <c r="J60" s="214"/>
      <c r="K60" s="214"/>
      <c r="L60" s="214"/>
      <c r="M60" s="214"/>
      <c r="N60" s="214"/>
      <c r="O60" s="214"/>
      <c r="P60" s="214"/>
      <c r="Q60" s="215"/>
      <c r="R60" s="1"/>
      <c r="S60" s="1"/>
      <c r="T60" s="1"/>
      <c r="U60" s="1"/>
      <c r="V60" s="1"/>
    </row>
    <row r="61" spans="1:22" ht="17.25" customHeight="1" x14ac:dyDescent="0.25">
      <c r="A61" s="1"/>
      <c r="B61" s="191" t="str">
        <f>+I12</f>
        <v>EXT. NOC. ORD. 1.75</v>
      </c>
      <c r="C61" s="192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6"/>
      <c r="I61" s="217"/>
      <c r="J61" s="217"/>
      <c r="K61" s="217"/>
      <c r="L61" s="217"/>
      <c r="M61" s="217"/>
      <c r="N61" s="217"/>
      <c r="O61" s="217"/>
      <c r="P61" s="217"/>
      <c r="Q61" s="218"/>
      <c r="R61" s="1"/>
      <c r="S61" s="1"/>
      <c r="T61" s="1"/>
      <c r="U61" s="1"/>
      <c r="V61" s="1"/>
    </row>
    <row r="62" spans="1:22" ht="17.25" customHeight="1" x14ac:dyDescent="0.25">
      <c r="A62" s="1"/>
      <c r="B62" s="191" t="str">
        <f>+J12</f>
        <v>EXTRA DOM./FES. DIU.2.00</v>
      </c>
      <c r="C62" s="192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6"/>
      <c r="I62" s="217"/>
      <c r="J62" s="217"/>
      <c r="K62" s="217"/>
      <c r="L62" s="217"/>
      <c r="M62" s="217"/>
      <c r="N62" s="217"/>
      <c r="O62" s="217"/>
      <c r="P62" s="217"/>
      <c r="Q62" s="218"/>
      <c r="R62" s="1"/>
      <c r="S62" s="1"/>
      <c r="T62" s="1"/>
      <c r="U62" s="1"/>
      <c r="V62" s="1"/>
    </row>
    <row r="63" spans="1:22" ht="17.25" customHeight="1" x14ac:dyDescent="0.25">
      <c r="A63" s="1"/>
      <c r="B63" s="191" t="str">
        <f>+K12</f>
        <v>EXTRA DOM./FES.  NOC. 2.50</v>
      </c>
      <c r="C63" s="192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6"/>
      <c r="I63" s="217"/>
      <c r="J63" s="217"/>
      <c r="K63" s="217"/>
      <c r="L63" s="217"/>
      <c r="M63" s="217"/>
      <c r="N63" s="217"/>
      <c r="O63" s="217"/>
      <c r="P63" s="217"/>
      <c r="Q63" s="218"/>
      <c r="R63" s="1"/>
      <c r="S63" s="1"/>
      <c r="T63" s="1"/>
      <c r="U63" s="1"/>
      <c r="V63" s="1"/>
    </row>
    <row r="64" spans="1:22" ht="17.25" customHeight="1" x14ac:dyDescent="0.25">
      <c r="A64" s="1"/>
      <c r="B64" s="191" t="str">
        <f>+L12</f>
        <v>REC. NOCT ORD.              0.35</v>
      </c>
      <c r="C64" s="192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6"/>
      <c r="I64" s="217"/>
      <c r="J64" s="217"/>
      <c r="K64" s="217"/>
      <c r="L64" s="217"/>
      <c r="M64" s="217"/>
      <c r="N64" s="217"/>
      <c r="O64" s="217"/>
      <c r="P64" s="217"/>
      <c r="Q64" s="218"/>
      <c r="R64" s="1"/>
      <c r="S64" s="1"/>
      <c r="T64" s="1"/>
      <c r="U64" s="1"/>
      <c r="V64" s="1"/>
    </row>
    <row r="65" spans="1:22" ht="17.25" customHeight="1" x14ac:dyDescent="0.25">
      <c r="A65" s="1"/>
      <c r="B65" s="191" t="str">
        <f>+M12</f>
        <v xml:space="preserve">REC, DOM / FESTIVA DIU 1.75 </v>
      </c>
      <c r="C65" s="192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6"/>
      <c r="I65" s="217"/>
      <c r="J65" s="217"/>
      <c r="K65" s="217"/>
      <c r="L65" s="217"/>
      <c r="M65" s="217"/>
      <c r="N65" s="217"/>
      <c r="O65" s="217"/>
      <c r="P65" s="217"/>
      <c r="Q65" s="218"/>
      <c r="R65" s="1"/>
      <c r="S65" s="1"/>
      <c r="T65" s="1"/>
      <c r="U65" s="1"/>
      <c r="V65" s="1"/>
    </row>
    <row r="66" spans="1:22" ht="17.25" customHeight="1" x14ac:dyDescent="0.25">
      <c r="A66" s="1"/>
      <c r="B66" s="191" t="str">
        <f>+N12</f>
        <v>REC. DOM. / FES. NOC.  2.10</v>
      </c>
      <c r="C66" s="192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6"/>
      <c r="I66" s="217"/>
      <c r="J66" s="217"/>
      <c r="K66" s="217"/>
      <c r="L66" s="217"/>
      <c r="M66" s="217"/>
      <c r="N66" s="217"/>
      <c r="O66" s="217"/>
      <c r="P66" s="217"/>
      <c r="Q66" s="218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3" t="str">
        <f>+O12</f>
        <v>COMPENSATORIOS</v>
      </c>
      <c r="C67" s="194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6"/>
      <c r="I67" s="217"/>
      <c r="J67" s="217"/>
      <c r="K67" s="217"/>
      <c r="L67" s="217"/>
      <c r="M67" s="217"/>
      <c r="N67" s="217"/>
      <c r="O67" s="217"/>
      <c r="P67" s="217"/>
      <c r="Q67" s="218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6"/>
      <c r="I68" s="217"/>
      <c r="J68" s="217"/>
      <c r="K68" s="217"/>
      <c r="L68" s="217"/>
      <c r="M68" s="217"/>
      <c r="N68" s="217"/>
      <c r="O68" s="217"/>
      <c r="P68" s="217"/>
      <c r="Q68" s="218"/>
      <c r="R68" s="1"/>
      <c r="S68" s="1"/>
      <c r="T68" s="1"/>
      <c r="U68" s="1"/>
      <c r="V68" s="1"/>
    </row>
    <row r="69" spans="1:22" ht="18" customHeight="1" thickBot="1" x14ac:dyDescent="0.3">
      <c r="A69" s="1"/>
      <c r="B69" s="195" t="s">
        <v>53</v>
      </c>
      <c r="C69" s="195"/>
      <c r="D69" s="195"/>
      <c r="E69" s="195"/>
      <c r="F69" s="95">
        <f>SUM(F60:F67)</f>
        <v>0</v>
      </c>
      <c r="G69" s="1"/>
      <c r="H69" s="219"/>
      <c r="I69" s="220"/>
      <c r="J69" s="220"/>
      <c r="K69" s="220"/>
      <c r="L69" s="220"/>
      <c r="M69" s="220"/>
      <c r="N69" s="220"/>
      <c r="O69" s="220"/>
      <c r="P69" s="220"/>
      <c r="Q69" s="221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6"/>
      <c r="D76" s="196"/>
      <c r="E76" s="196"/>
      <c r="F76" s="196"/>
      <c r="G76" s="196"/>
      <c r="H76" s="196"/>
      <c r="I76" s="196"/>
      <c r="L76" s="196"/>
      <c r="M76" s="196"/>
      <c r="N76" s="196"/>
      <c r="O76" s="196"/>
      <c r="P76" s="196"/>
    </row>
    <row r="77" spans="1:22" ht="30.75" customHeight="1" thickTop="1" x14ac:dyDescent="0.25">
      <c r="C77" s="190" t="s">
        <v>54</v>
      </c>
      <c r="D77" s="190"/>
      <c r="E77" s="190"/>
      <c r="F77" s="190"/>
      <c r="G77" s="190"/>
      <c r="H77" s="190"/>
      <c r="I77" s="190"/>
      <c r="J77" s="16"/>
      <c r="K77" s="16"/>
      <c r="L77" s="190" t="s">
        <v>55</v>
      </c>
      <c r="M77" s="190"/>
      <c r="N77" s="190"/>
      <c r="O77" s="190"/>
      <c r="P77" s="190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5"/>
      <c r="C2" s="266"/>
      <c r="D2" s="266"/>
      <c r="E2" s="267"/>
      <c r="F2" s="274" t="s">
        <v>17</v>
      </c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6"/>
      <c r="R2" s="1"/>
      <c r="S2" s="3"/>
      <c r="T2" s="3"/>
      <c r="U2" s="3"/>
      <c r="V2" s="1"/>
    </row>
    <row r="3" spans="1:24" ht="15.75" customHeight="1" x14ac:dyDescent="0.25">
      <c r="A3" s="1"/>
      <c r="B3" s="268"/>
      <c r="C3" s="286"/>
      <c r="D3" s="286"/>
      <c r="E3" s="270"/>
      <c r="F3" s="27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79"/>
      <c r="R3" s="1"/>
      <c r="S3" s="4"/>
      <c r="T3" s="1"/>
      <c r="U3" s="1"/>
      <c r="V3" s="1"/>
    </row>
    <row r="4" spans="1:24" ht="15.75" customHeight="1" x14ac:dyDescent="0.25">
      <c r="A4" s="1"/>
      <c r="B4" s="268"/>
      <c r="C4" s="286"/>
      <c r="D4" s="286"/>
      <c r="E4" s="270"/>
      <c r="F4" s="27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79"/>
      <c r="R4" s="1"/>
      <c r="S4" s="4"/>
      <c r="T4" s="1"/>
      <c r="U4" s="1"/>
      <c r="V4" s="1"/>
    </row>
    <row r="5" spans="1:24" ht="15.75" customHeight="1" thickBot="1" x14ac:dyDescent="0.3">
      <c r="A5" s="1"/>
      <c r="B5" s="271"/>
      <c r="C5" s="272"/>
      <c r="D5" s="272"/>
      <c r="E5" s="273"/>
      <c r="F5" s="280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1" t="s">
        <v>18</v>
      </c>
      <c r="D7" s="251"/>
      <c r="E7" s="257" t="str">
        <f>IF($E$8="","",VLOOKUP($E$8,'BD Personal'!$A$6:$R$64,3,FALSE))&amp;" "&amp;IF($E$8="","",VLOOKUP($E$8,'BD Personal'!$A$6:$R$64,4,FALSE))</f>
        <v xml:space="preserve"> </v>
      </c>
      <c r="F7" s="257"/>
      <c r="G7" s="257"/>
      <c r="H7" s="257"/>
      <c r="I7" s="251" t="s">
        <v>19</v>
      </c>
      <c r="J7" s="251"/>
      <c r="K7" s="257" t="str">
        <f>IF($E$8="","",VLOOKUP($E$8,'BD Personal'!$A$6:$R$64,2,FALSE))</f>
        <v/>
      </c>
      <c r="L7" s="257"/>
      <c r="M7" s="257"/>
      <c r="N7" s="251" t="s">
        <v>20</v>
      </c>
      <c r="O7" s="251"/>
      <c r="P7" s="283" t="str">
        <f ca="1">IF($E$8="","",TODAY()-VLOOKUP($E$8,'BD Personal'!$A$6:$R$64,8,FALSE))</f>
        <v/>
      </c>
      <c r="Q7" s="284"/>
      <c r="S7" s="4"/>
    </row>
    <row r="8" spans="1:24" ht="26.1" customHeight="1" x14ac:dyDescent="0.25">
      <c r="B8" s="130"/>
      <c r="C8" s="251" t="s">
        <v>21</v>
      </c>
      <c r="D8" s="251"/>
      <c r="E8" s="262"/>
      <c r="F8" s="262"/>
      <c r="G8" s="262"/>
      <c r="H8" s="262"/>
      <c r="I8" s="251" t="s">
        <v>22</v>
      </c>
      <c r="J8" s="251"/>
      <c r="K8" s="257" t="str">
        <f>IF($E$8="","",VLOOKUP($E$8,'BD Personal'!$A$6:$R$64,11,FALSE))</f>
        <v/>
      </c>
      <c r="L8" s="257"/>
      <c r="M8" s="257"/>
      <c r="N8" s="251" t="s">
        <v>23</v>
      </c>
      <c r="O8" s="251"/>
      <c r="P8" s="263" t="str">
        <f>IF($E$8="","",VLOOKUP($E$8,'BD Personal'!$A$6:$R$64,10,FALSE))</f>
        <v/>
      </c>
      <c r="Q8" s="264"/>
      <c r="S8" s="4"/>
      <c r="T8" s="6"/>
      <c r="U8" s="285"/>
      <c r="V8" s="285"/>
      <c r="W8" s="285"/>
      <c r="X8" s="2"/>
    </row>
    <row r="9" spans="1:24" ht="26.1" customHeight="1" x14ac:dyDescent="0.2">
      <c r="B9" s="130"/>
      <c r="C9" s="251" t="s">
        <v>24</v>
      </c>
      <c r="D9" s="251"/>
      <c r="E9" s="257" t="str">
        <f>IF($E$8="","",VLOOKUP($E$8,'BD Personal'!$A$6:$R$64,13,FALSE))</f>
        <v/>
      </c>
      <c r="F9" s="257"/>
      <c r="G9" s="257"/>
      <c r="H9" s="257"/>
      <c r="I9" s="251" t="s">
        <v>25</v>
      </c>
      <c r="J9" s="251"/>
      <c r="K9" s="257" t="str">
        <f>IF($E$8="","",VLOOKUP($E$8,'BD Personal'!$A$6:$R$64,14,FALSE))</f>
        <v/>
      </c>
      <c r="L9" s="257"/>
      <c r="M9" s="257"/>
      <c r="N9" s="260" t="s">
        <v>26</v>
      </c>
      <c r="O9" s="260"/>
      <c r="P9" s="258"/>
      <c r="Q9" s="259"/>
      <c r="S9" s="4"/>
      <c r="T9" s="7"/>
      <c r="U9" s="7"/>
      <c r="V9" s="261"/>
      <c r="W9" s="261"/>
      <c r="X9" s="261"/>
    </row>
    <row r="10" spans="1:24" ht="26.1" customHeight="1" x14ac:dyDescent="0.25">
      <c r="B10" s="130"/>
      <c r="C10" s="251" t="s">
        <v>27</v>
      </c>
      <c r="D10" s="251"/>
      <c r="E10" s="256" t="str">
        <f>IF($E$8="","",VLOOKUP($E$8,'BD Personal'!$A$6:$R$64,15,FALSE))</f>
        <v/>
      </c>
      <c r="F10" s="256"/>
      <c r="G10" s="256"/>
      <c r="H10" s="256"/>
      <c r="I10" s="251" t="s">
        <v>28</v>
      </c>
      <c r="J10" s="251"/>
      <c r="K10" s="257" t="str">
        <f>IF($E$8="","",VLOOKUP($E$8,'BD Personal'!$A$6:$R$64,17,FALSE))</f>
        <v/>
      </c>
      <c r="L10" s="257"/>
      <c r="M10" s="257"/>
      <c r="N10" s="251" t="s">
        <v>29</v>
      </c>
      <c r="O10" s="251"/>
      <c r="P10" s="258" t="str">
        <f>IF($E$8="","",VLOOKUP($E$8,'BD Personal'!$A$6:$R$64,18,FALSE))</f>
        <v/>
      </c>
      <c r="Q10" s="259"/>
      <c r="S10" s="4"/>
      <c r="T10" s="8"/>
      <c r="U10" s="250"/>
      <c r="V10" s="250"/>
      <c r="W10" s="250"/>
      <c r="X10" s="2"/>
    </row>
    <row r="11" spans="1:24" ht="26.1" customHeight="1" thickBot="1" x14ac:dyDescent="0.25">
      <c r="B11" s="130"/>
      <c r="C11" s="251" t="s">
        <v>30</v>
      </c>
      <c r="D11" s="251"/>
      <c r="E11" s="252" t="str">
        <f>IF($E$8="","",VLOOKUP($E$8,'BD Personal'!$A$6:$R$64,16,FALSE))</f>
        <v/>
      </c>
      <c r="F11" s="252"/>
      <c r="G11" s="252"/>
      <c r="H11" s="252"/>
      <c r="I11" s="253" t="s">
        <v>31</v>
      </c>
      <c r="J11" s="253"/>
      <c r="K11" s="254" t="str">
        <f>Cronograma!B6</f>
        <v>JUNIO</v>
      </c>
      <c r="L11" s="254"/>
      <c r="M11" s="254"/>
      <c r="N11" s="131"/>
      <c r="O11" s="132"/>
      <c r="P11" s="133"/>
      <c r="Q11" s="134"/>
      <c r="S11" s="4"/>
      <c r="T11" s="7"/>
      <c r="U11" s="2"/>
      <c r="V11" s="255"/>
      <c r="W11" s="255"/>
      <c r="X11" s="255"/>
    </row>
    <row r="12" spans="1:24" ht="27.75" customHeight="1" x14ac:dyDescent="0.25">
      <c r="A12" s="1"/>
      <c r="B12" s="242" t="s">
        <v>32</v>
      </c>
      <c r="C12" s="243"/>
      <c r="D12" s="243" t="s">
        <v>33</v>
      </c>
      <c r="E12" s="243"/>
      <c r="F12" s="228" t="s">
        <v>2</v>
      </c>
      <c r="G12" s="228" t="s">
        <v>176</v>
      </c>
      <c r="H12" s="228" t="s">
        <v>3</v>
      </c>
      <c r="I12" s="228" t="s">
        <v>4</v>
      </c>
      <c r="J12" s="228" t="s">
        <v>34</v>
      </c>
      <c r="K12" s="228" t="s">
        <v>35</v>
      </c>
      <c r="L12" s="228" t="s">
        <v>36</v>
      </c>
      <c r="M12" s="228" t="s">
        <v>37</v>
      </c>
      <c r="N12" s="228" t="s">
        <v>38</v>
      </c>
      <c r="O12" s="230" t="s">
        <v>5</v>
      </c>
      <c r="P12" s="244" t="s">
        <v>39</v>
      </c>
      <c r="Q12" s="245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29"/>
      <c r="G13" s="229"/>
      <c r="H13" s="229"/>
      <c r="I13" s="229"/>
      <c r="J13" s="229"/>
      <c r="K13" s="229"/>
      <c r="L13" s="229"/>
      <c r="M13" s="229"/>
      <c r="N13" s="229"/>
      <c r="O13" s="231"/>
      <c r="P13" s="246"/>
      <c r="Q13" s="247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43983</v>
      </c>
      <c r="C14" s="97" t="str">
        <f t="shared" ref="C14:C44" si="0">TEXT(B14, "dddd")</f>
        <v>lunes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8"/>
      <c r="Q14" s="24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43984</v>
      </c>
      <c r="C15" s="106" t="str">
        <f t="shared" si="0"/>
        <v>martes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2"/>
      <c r="Q15" s="233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43985</v>
      </c>
      <c r="C16" s="106" t="str">
        <f t="shared" si="0"/>
        <v>miércoles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2"/>
      <c r="Q16" s="233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43986</v>
      </c>
      <c r="C17" s="106" t="str">
        <f t="shared" si="0"/>
        <v>jueves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2"/>
      <c r="Q17" s="233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43987</v>
      </c>
      <c r="C18" s="106" t="str">
        <f t="shared" si="0"/>
        <v>viernes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2"/>
      <c r="Q18" s="233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43988</v>
      </c>
      <c r="C19" s="106" t="str">
        <f t="shared" si="0"/>
        <v>sábado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2"/>
      <c r="Q19" s="233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43989</v>
      </c>
      <c r="C20" s="106" t="str">
        <f t="shared" si="0"/>
        <v>domingo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2"/>
      <c r="Q20" s="233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43990</v>
      </c>
      <c r="C21" s="106" t="str">
        <f t="shared" si="0"/>
        <v>lunes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2"/>
      <c r="Q21" s="233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43991</v>
      </c>
      <c r="C22" s="106" t="str">
        <f t="shared" si="0"/>
        <v>martes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2"/>
      <c r="Q22" s="233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43992</v>
      </c>
      <c r="C23" s="106" t="str">
        <f t="shared" si="0"/>
        <v>miércoles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2"/>
      <c r="Q23" s="233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43993</v>
      </c>
      <c r="C24" s="106" t="str">
        <f t="shared" si="0"/>
        <v>jueves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2"/>
      <c r="Q24" s="233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43994</v>
      </c>
      <c r="C25" s="106" t="str">
        <f t="shared" si="0"/>
        <v>viernes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2"/>
      <c r="Q25" s="233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43995</v>
      </c>
      <c r="C26" s="106" t="str">
        <f t="shared" si="0"/>
        <v>sábado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2"/>
      <c r="Q26" s="233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43996</v>
      </c>
      <c r="C27" s="106" t="str">
        <f t="shared" si="0"/>
        <v>domingo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2"/>
      <c r="Q27" s="233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43997</v>
      </c>
      <c r="C28" s="106" t="str">
        <f t="shared" si="0"/>
        <v>lunes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2"/>
      <c r="Q28" s="233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43998</v>
      </c>
      <c r="C29" s="106" t="str">
        <f t="shared" si="0"/>
        <v>martes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2"/>
      <c r="Q29" s="233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43999</v>
      </c>
      <c r="C30" s="106" t="str">
        <f t="shared" si="0"/>
        <v>miércoles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2"/>
      <c r="Q30" s="233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44000</v>
      </c>
      <c r="C31" s="106" t="str">
        <f t="shared" si="0"/>
        <v>jueves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2"/>
      <c r="Q31" s="233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44001</v>
      </c>
      <c r="C32" s="106" t="str">
        <f t="shared" si="0"/>
        <v>viernes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2"/>
      <c r="Q32" s="233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44002</v>
      </c>
      <c r="C33" s="106" t="str">
        <f t="shared" si="0"/>
        <v>sábado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2"/>
      <c r="Q33" s="233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44003</v>
      </c>
      <c r="C34" s="106" t="str">
        <f t="shared" si="0"/>
        <v>domingo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2"/>
      <c r="Q34" s="233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44004</v>
      </c>
      <c r="C35" s="106" t="str">
        <f t="shared" si="0"/>
        <v>lunes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2"/>
      <c r="Q35" s="233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44005</v>
      </c>
      <c r="C36" s="106" t="str">
        <f t="shared" si="0"/>
        <v>martes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2"/>
      <c r="Q36" s="233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44006</v>
      </c>
      <c r="C37" s="106" t="str">
        <f t="shared" si="0"/>
        <v>miércoles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2"/>
      <c r="Q37" s="233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44007</v>
      </c>
      <c r="C38" s="106" t="str">
        <f t="shared" si="0"/>
        <v>jueves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2"/>
      <c r="Q38" s="233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44008</v>
      </c>
      <c r="C39" s="106" t="str">
        <f t="shared" si="0"/>
        <v>viernes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2"/>
      <c r="Q39" s="233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44009</v>
      </c>
      <c r="C40" s="106" t="str">
        <f t="shared" si="0"/>
        <v>sábado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2"/>
      <c r="Q40" s="233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44010</v>
      </c>
      <c r="C41" s="106" t="str">
        <f t="shared" si="0"/>
        <v>domingo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2"/>
      <c r="Q41" s="233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44011</v>
      </c>
      <c r="C42" s="106" t="str">
        <f t="shared" si="0"/>
        <v>lunes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2"/>
      <c r="Q42" s="233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44012</v>
      </c>
      <c r="C43" s="106" t="str">
        <f t="shared" si="0"/>
        <v>martes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2"/>
      <c r="Q43" s="233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44013</v>
      </c>
      <c r="C44" s="114" t="str">
        <f t="shared" si="0"/>
        <v>miércoles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42" t="s">
        <v>32</v>
      </c>
      <c r="C48" s="243"/>
      <c r="D48" s="243" t="s">
        <v>33</v>
      </c>
      <c r="E48" s="243"/>
      <c r="F48" s="228" t="s">
        <v>2</v>
      </c>
      <c r="G48" s="228" t="s">
        <v>176</v>
      </c>
      <c r="H48" s="228" t="s">
        <v>3</v>
      </c>
      <c r="I48" s="228" t="s">
        <v>4</v>
      </c>
      <c r="J48" s="228" t="s">
        <v>34</v>
      </c>
      <c r="K48" s="228" t="s">
        <v>35</v>
      </c>
      <c r="L48" s="228" t="s">
        <v>36</v>
      </c>
      <c r="M48" s="228" t="s">
        <v>37</v>
      </c>
      <c r="N48" s="228" t="s">
        <v>38</v>
      </c>
      <c r="O48" s="230" t="s">
        <v>5</v>
      </c>
      <c r="P48" s="244" t="s">
        <v>39</v>
      </c>
      <c r="Q48" s="245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29"/>
      <c r="G49" s="229"/>
      <c r="H49" s="229"/>
      <c r="I49" s="229"/>
      <c r="J49" s="229"/>
      <c r="K49" s="229"/>
      <c r="L49" s="229"/>
      <c r="M49" s="229"/>
      <c r="N49" s="229"/>
      <c r="O49" s="231"/>
      <c r="P49" s="246"/>
      <c r="Q49" s="247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2"/>
      <c r="Q50" s="22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4"/>
      <c r="Q51" s="22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4"/>
      <c r="Q52" s="22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4"/>
      <c r="Q53" s="22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6"/>
      <c r="Q54" s="22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7" t="s">
        <v>12</v>
      </c>
      <c r="C56" s="198"/>
      <c r="D56" s="198"/>
      <c r="E56" s="198"/>
      <c r="F56" s="198"/>
      <c r="G56" s="199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0" t="s">
        <v>46</v>
      </c>
      <c r="C58" s="201"/>
      <c r="D58" s="201"/>
      <c r="E58" s="201"/>
      <c r="F58" s="202"/>
      <c r="H58" s="203" t="s">
        <v>47</v>
      </c>
      <c r="I58" s="204"/>
      <c r="J58" s="204"/>
      <c r="K58" s="204"/>
      <c r="L58" s="204"/>
      <c r="M58" s="204"/>
      <c r="N58" s="204"/>
      <c r="O58" s="204"/>
      <c r="P58" s="204"/>
      <c r="Q58" s="205"/>
      <c r="R58" s="5"/>
      <c r="S58" s="5"/>
      <c r="U58" s="1"/>
      <c r="V58" s="1"/>
    </row>
    <row r="59" spans="1:22" s="13" customFormat="1" ht="22.5" customHeight="1" thickBot="1" x14ac:dyDescent="0.3">
      <c r="B59" s="209" t="s">
        <v>48</v>
      </c>
      <c r="C59" s="210"/>
      <c r="D59" s="164" t="s">
        <v>49</v>
      </c>
      <c r="E59" s="164" t="s">
        <v>50</v>
      </c>
      <c r="F59" s="14" t="s">
        <v>51</v>
      </c>
      <c r="H59" s="206"/>
      <c r="I59" s="207"/>
      <c r="J59" s="207"/>
      <c r="K59" s="207"/>
      <c r="L59" s="207"/>
      <c r="M59" s="207"/>
      <c r="N59" s="207"/>
      <c r="O59" s="207"/>
      <c r="P59" s="207"/>
      <c r="Q59" s="208"/>
    </row>
    <row r="60" spans="1:22" ht="17.25" customHeight="1" x14ac:dyDescent="0.25">
      <c r="A60" s="1"/>
      <c r="B60" s="211" t="str">
        <f>+H12</f>
        <v xml:space="preserve"> EXT. DIURNA 1.25</v>
      </c>
      <c r="C60" s="212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3"/>
      <c r="I60" s="214"/>
      <c r="J60" s="214"/>
      <c r="K60" s="214"/>
      <c r="L60" s="214"/>
      <c r="M60" s="214"/>
      <c r="N60" s="214"/>
      <c r="O60" s="214"/>
      <c r="P60" s="214"/>
      <c r="Q60" s="215"/>
      <c r="R60" s="1"/>
      <c r="S60" s="1"/>
      <c r="T60" s="1"/>
      <c r="U60" s="1"/>
      <c r="V60" s="1"/>
    </row>
    <row r="61" spans="1:22" ht="17.25" customHeight="1" x14ac:dyDescent="0.25">
      <c r="A61" s="1"/>
      <c r="B61" s="191" t="str">
        <f>+I12</f>
        <v>EXT. NOC. ORD. 1.75</v>
      </c>
      <c r="C61" s="192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6"/>
      <c r="I61" s="217"/>
      <c r="J61" s="217"/>
      <c r="K61" s="217"/>
      <c r="L61" s="217"/>
      <c r="M61" s="217"/>
      <c r="N61" s="217"/>
      <c r="O61" s="217"/>
      <c r="P61" s="217"/>
      <c r="Q61" s="218"/>
      <c r="R61" s="1"/>
      <c r="S61" s="1"/>
      <c r="T61" s="1"/>
      <c r="U61" s="1"/>
      <c r="V61" s="1"/>
    </row>
    <row r="62" spans="1:22" ht="17.25" customHeight="1" x14ac:dyDescent="0.25">
      <c r="A62" s="1"/>
      <c r="B62" s="191" t="str">
        <f>+J12</f>
        <v>EXTRA DOM./FES. DIU.2.00</v>
      </c>
      <c r="C62" s="192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6"/>
      <c r="I62" s="217"/>
      <c r="J62" s="217"/>
      <c r="K62" s="217"/>
      <c r="L62" s="217"/>
      <c r="M62" s="217"/>
      <c r="N62" s="217"/>
      <c r="O62" s="217"/>
      <c r="P62" s="217"/>
      <c r="Q62" s="218"/>
      <c r="R62" s="1"/>
      <c r="S62" s="1"/>
      <c r="T62" s="1"/>
      <c r="U62" s="1"/>
      <c r="V62" s="1"/>
    </row>
    <row r="63" spans="1:22" ht="17.25" customHeight="1" x14ac:dyDescent="0.25">
      <c r="A63" s="1"/>
      <c r="B63" s="191" t="str">
        <f>+K12</f>
        <v>EXTRA DOM./FES.  NOC. 2.50</v>
      </c>
      <c r="C63" s="192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6"/>
      <c r="I63" s="217"/>
      <c r="J63" s="217"/>
      <c r="K63" s="217"/>
      <c r="L63" s="217"/>
      <c r="M63" s="217"/>
      <c r="N63" s="217"/>
      <c r="O63" s="217"/>
      <c r="P63" s="217"/>
      <c r="Q63" s="218"/>
      <c r="R63" s="1"/>
      <c r="S63" s="1"/>
      <c r="T63" s="1"/>
      <c r="U63" s="1"/>
      <c r="V63" s="1"/>
    </row>
    <row r="64" spans="1:22" ht="17.25" customHeight="1" x14ac:dyDescent="0.25">
      <c r="A64" s="1"/>
      <c r="B64" s="191" t="str">
        <f>+L12</f>
        <v>REC. NOCT ORD.              0.35</v>
      </c>
      <c r="C64" s="192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6"/>
      <c r="I64" s="217"/>
      <c r="J64" s="217"/>
      <c r="K64" s="217"/>
      <c r="L64" s="217"/>
      <c r="M64" s="217"/>
      <c r="N64" s="217"/>
      <c r="O64" s="217"/>
      <c r="P64" s="217"/>
      <c r="Q64" s="218"/>
      <c r="R64" s="1"/>
      <c r="S64" s="1"/>
      <c r="T64" s="1"/>
      <c r="U64" s="1"/>
      <c r="V64" s="1"/>
    </row>
    <row r="65" spans="1:22" ht="17.25" customHeight="1" x14ac:dyDescent="0.25">
      <c r="A65" s="1"/>
      <c r="B65" s="191" t="str">
        <f>+M12</f>
        <v xml:space="preserve">REC, DOM / FESTIVA DIU 1.75 </v>
      </c>
      <c r="C65" s="192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6"/>
      <c r="I65" s="217"/>
      <c r="J65" s="217"/>
      <c r="K65" s="217"/>
      <c r="L65" s="217"/>
      <c r="M65" s="217"/>
      <c r="N65" s="217"/>
      <c r="O65" s="217"/>
      <c r="P65" s="217"/>
      <c r="Q65" s="218"/>
      <c r="R65" s="1"/>
      <c r="S65" s="1"/>
      <c r="T65" s="1"/>
      <c r="U65" s="1"/>
      <c r="V65" s="1"/>
    </row>
    <row r="66" spans="1:22" ht="17.25" customHeight="1" x14ac:dyDescent="0.25">
      <c r="A66" s="1"/>
      <c r="B66" s="191" t="str">
        <f>+N12</f>
        <v>REC. DOM. / FES. NOC.  2.10</v>
      </c>
      <c r="C66" s="192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6"/>
      <c r="I66" s="217"/>
      <c r="J66" s="217"/>
      <c r="K66" s="217"/>
      <c r="L66" s="217"/>
      <c r="M66" s="217"/>
      <c r="N66" s="217"/>
      <c r="O66" s="217"/>
      <c r="P66" s="217"/>
      <c r="Q66" s="218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3" t="str">
        <f>+O12</f>
        <v>COMPENSATORIOS</v>
      </c>
      <c r="C67" s="194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6"/>
      <c r="I67" s="217"/>
      <c r="J67" s="217"/>
      <c r="K67" s="217"/>
      <c r="L67" s="217"/>
      <c r="M67" s="217"/>
      <c r="N67" s="217"/>
      <c r="O67" s="217"/>
      <c r="P67" s="217"/>
      <c r="Q67" s="218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6"/>
      <c r="I68" s="217"/>
      <c r="J68" s="217"/>
      <c r="K68" s="217"/>
      <c r="L68" s="217"/>
      <c r="M68" s="217"/>
      <c r="N68" s="217"/>
      <c r="O68" s="217"/>
      <c r="P68" s="217"/>
      <c r="Q68" s="218"/>
      <c r="R68" s="1"/>
      <c r="S68" s="1"/>
      <c r="T68" s="1"/>
      <c r="U68" s="1"/>
      <c r="V68" s="1"/>
    </row>
    <row r="69" spans="1:22" ht="18" customHeight="1" thickBot="1" x14ac:dyDescent="0.3">
      <c r="A69" s="1"/>
      <c r="B69" s="195" t="s">
        <v>53</v>
      </c>
      <c r="C69" s="195"/>
      <c r="D69" s="195"/>
      <c r="E69" s="195"/>
      <c r="F69" s="95">
        <f>SUM(F60:F67)</f>
        <v>0</v>
      </c>
      <c r="G69" s="1"/>
      <c r="H69" s="219"/>
      <c r="I69" s="220"/>
      <c r="J69" s="220"/>
      <c r="K69" s="220"/>
      <c r="L69" s="220"/>
      <c r="M69" s="220"/>
      <c r="N69" s="220"/>
      <c r="O69" s="220"/>
      <c r="P69" s="220"/>
      <c r="Q69" s="221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6"/>
      <c r="D76" s="196"/>
      <c r="E76" s="196"/>
      <c r="F76" s="196"/>
      <c r="G76" s="196"/>
      <c r="H76" s="196"/>
      <c r="I76" s="196"/>
      <c r="L76" s="196"/>
      <c r="M76" s="196"/>
      <c r="N76" s="196"/>
      <c r="O76" s="196"/>
      <c r="P76" s="196"/>
    </row>
    <row r="77" spans="1:22" ht="30.75" customHeight="1" thickTop="1" x14ac:dyDescent="0.25">
      <c r="C77" s="190" t="s">
        <v>54</v>
      </c>
      <c r="D77" s="190"/>
      <c r="E77" s="190"/>
      <c r="F77" s="190"/>
      <c r="G77" s="190"/>
      <c r="H77" s="190"/>
      <c r="I77" s="190"/>
      <c r="J77" s="16"/>
      <c r="K77" s="16"/>
      <c r="L77" s="190" t="s">
        <v>55</v>
      </c>
      <c r="M77" s="190"/>
      <c r="N77" s="190"/>
      <c r="O77" s="190"/>
      <c r="P77" s="190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299</v>
      </c>
      <c r="M1">
        <v>1</v>
      </c>
      <c r="N1">
        <v>4</v>
      </c>
      <c r="O1">
        <v>2</v>
      </c>
      <c r="P1">
        <v>3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4" priority="3"/>
  </conditionalFormatting>
  <conditionalFormatting sqref="AE3:AE14">
    <cfRule type="duplicateValues" dxfId="43" priority="2"/>
  </conditionalFormatting>
  <conditionalFormatting sqref="AO3:AO14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8" t="s">
        <v>143</v>
      </c>
      <c r="B5" s="288"/>
      <c r="C5" s="288"/>
      <c r="D5" s="289" t="str">
        <f>Plantilla!K11</f>
        <v>JUNIO</v>
      </c>
      <c r="E5" s="289"/>
      <c r="F5" s="295" t="s">
        <v>144</v>
      </c>
      <c r="G5" s="296"/>
      <c r="H5" s="296"/>
      <c r="I5" s="296"/>
      <c r="J5" s="296"/>
      <c r="K5" s="296"/>
      <c r="L5" s="296"/>
      <c r="M5" s="296"/>
      <c r="N5" s="296"/>
      <c r="O5" s="297"/>
      <c r="P5" s="295" t="s">
        <v>168</v>
      </c>
      <c r="Q5" s="297"/>
      <c r="R5" s="295"/>
      <c r="S5" s="297"/>
    </row>
    <row r="6" spans="1:21" s="47" customFormat="1" ht="29.25" customHeight="1" x14ac:dyDescent="0.25">
      <c r="A6" s="290" t="s">
        <v>145</v>
      </c>
      <c r="B6" s="290" t="s">
        <v>146</v>
      </c>
      <c r="C6" s="290" t="s">
        <v>147</v>
      </c>
      <c r="D6" s="291" t="s">
        <v>148</v>
      </c>
      <c r="E6" s="291" t="s">
        <v>67</v>
      </c>
      <c r="F6" s="290" t="s">
        <v>0</v>
      </c>
      <c r="G6" s="293" t="s">
        <v>3</v>
      </c>
      <c r="H6" s="293" t="s">
        <v>4</v>
      </c>
      <c r="I6" s="293" t="s">
        <v>34</v>
      </c>
      <c r="J6" s="293" t="s">
        <v>35</v>
      </c>
      <c r="K6" s="293" t="s">
        <v>36</v>
      </c>
      <c r="L6" s="293" t="s">
        <v>37</v>
      </c>
      <c r="M6" s="293" t="s">
        <v>38</v>
      </c>
      <c r="N6" s="293" t="s">
        <v>5</v>
      </c>
      <c r="O6" s="298" t="s">
        <v>149</v>
      </c>
      <c r="P6" s="299"/>
      <c r="Q6" s="299"/>
      <c r="R6" s="300"/>
      <c r="S6" s="292" t="s">
        <v>47</v>
      </c>
    </row>
    <row r="7" spans="1:21" s="47" customFormat="1" ht="78.75" customHeight="1" x14ac:dyDescent="0.25">
      <c r="A7" s="290"/>
      <c r="B7" s="290"/>
      <c r="C7" s="290"/>
      <c r="D7" s="290"/>
      <c r="E7" s="290"/>
      <c r="F7" s="290"/>
      <c r="G7" s="294"/>
      <c r="H7" s="294"/>
      <c r="I7" s="294"/>
      <c r="J7" s="294"/>
      <c r="K7" s="294"/>
      <c r="L7" s="294"/>
      <c r="M7" s="294"/>
      <c r="N7" s="294"/>
      <c r="O7" s="48" t="s">
        <v>150</v>
      </c>
      <c r="P7" s="48" t="s">
        <v>151</v>
      </c>
      <c r="Q7" s="48" t="s">
        <v>152</v>
      </c>
      <c r="R7" s="48" t="s">
        <v>153</v>
      </c>
      <c r="S7" s="292"/>
    </row>
    <row r="8" spans="1:21" s="50" customFormat="1" ht="31.5" customHeight="1" x14ac:dyDescent="0.25">
      <c r="A8" s="290"/>
      <c r="B8" s="290"/>
      <c r="C8" s="290"/>
      <c r="D8" s="290"/>
      <c r="E8" s="290"/>
      <c r="F8" s="290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2"/>
    </row>
    <row r="9" spans="1:21" ht="36" customHeight="1" x14ac:dyDescent="0.25">
      <c r="A9" s="135">
        <v>1</v>
      </c>
      <c r="B9" s="136">
        <v>9897000</v>
      </c>
      <c r="C9" s="137" t="str">
        <f>IF(B9="","",VLOOKUP(B9,'BD Personal'!$A$6:$R$64,3,FALSE))&amp;" "&amp;IF(B9="","",VLOOKUP(B9,'BD Personal'!$A$6:$R$64,4,FALSE))</f>
        <v>pollo perez</v>
      </c>
      <c r="D9" s="137" t="str">
        <f>IF(B9="","",VLOOKUP(B9,'BD Personal'!$A$6:$R$64,17,FALSE))</f>
        <v>001</v>
      </c>
      <c r="E9" s="137" t="str">
        <f>IF(B9="","",VLOOKUP(B9,'BD Personal'!$A$6:$R$64,18,FALSE))</f>
        <v>1</v>
      </c>
      <c r="F9" s="137" t="str">
        <f>IF(B9="","",VLOOKUP(B9,'BD Personal'!$A$6:$R$64,11,FALSE))</f>
        <v>Finanzas</v>
      </c>
      <c r="G9" s="138">
        <f ca="1">IF(B9="","",INDIRECT("'"&amp;VLOOKUP(B9,'BD Personal'!$A$6:$R$64,4,FALSE)&amp;"'!H56"))</f>
        <v>1.5</v>
      </c>
      <c r="H9" s="138">
        <f ca="1">IF(B9="","",INDIRECT("'"&amp;VLOOKUP(B9,'BD Personal'!$A$6:$R$64,4,FALSE)&amp;"'!I56"))</f>
        <v>0.25</v>
      </c>
      <c r="I9" s="138">
        <f ca="1">IF(B9="","",INDIRECT("'"&amp;VLOOKUP(B9,'BD Personal'!$A$6:$R$64,4,FALSE)&amp;"'!J56"))</f>
        <v>0</v>
      </c>
      <c r="J9" s="138">
        <f ca="1">IF(B9="","",INDIRECT("'"&amp;VLOOKUP(B9,'BD Personal'!$A$6:$R$64,4,FALSE)&amp;"'!K56"))</f>
        <v>0</v>
      </c>
      <c r="K9" s="138">
        <f ca="1">IF(B9="","",INDIRECT("'"&amp;VLOOKUP(B9,'BD Personal'!$A$6:$R$64,4,FALSE)&amp;"'!L56"))</f>
        <v>0</v>
      </c>
      <c r="L9" s="138">
        <f ca="1">IF(B9="","",INDIRECT("'"&amp;VLOOKUP(B9,'BD Personal'!$A$6:$R$64,4,FALSE)&amp;"'!M56"))</f>
        <v>0</v>
      </c>
      <c r="M9" s="138">
        <f ca="1">IF(B9="","",INDIRECT("'"&amp;VLOOKUP(B9,'BD Personal'!$A$6:$R$64,4,FALSE)&amp;"'!N56"))</f>
        <v>0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K9" sqref="K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31"/>
      <c r="C1" s="332"/>
      <c r="D1" s="332"/>
      <c r="E1" s="332"/>
      <c r="F1" s="319" t="s">
        <v>15</v>
      </c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  <c r="Y1" s="319"/>
      <c r="Z1" s="319"/>
      <c r="AA1" s="319"/>
      <c r="AB1" s="319"/>
      <c r="AC1" s="319"/>
      <c r="AD1" s="319"/>
      <c r="AE1" s="319"/>
      <c r="AF1" s="319"/>
      <c r="AG1" s="319"/>
      <c r="AH1" s="319"/>
      <c r="AI1" s="319"/>
      <c r="AJ1" s="322"/>
      <c r="AK1" s="20"/>
    </row>
    <row r="2" spans="2:40" ht="15" customHeight="1" x14ac:dyDescent="0.25">
      <c r="B2" s="333"/>
      <c r="C2" s="334"/>
      <c r="D2" s="334"/>
      <c r="E2" s="334"/>
      <c r="F2" s="320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0"/>
      <c r="AA2" s="320"/>
      <c r="AB2" s="320"/>
      <c r="AC2" s="320"/>
      <c r="AD2" s="320"/>
      <c r="AE2" s="320"/>
      <c r="AF2" s="320"/>
      <c r="AG2" s="320"/>
      <c r="AH2" s="320"/>
      <c r="AI2" s="320"/>
      <c r="AJ2" s="323"/>
      <c r="AK2" s="21"/>
    </row>
    <row r="3" spans="2:40" ht="15" customHeight="1" x14ac:dyDescent="0.25">
      <c r="B3" s="333"/>
      <c r="C3" s="334"/>
      <c r="D3" s="334"/>
      <c r="E3" s="334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0"/>
      <c r="AC3" s="320"/>
      <c r="AD3" s="320"/>
      <c r="AE3" s="320"/>
      <c r="AF3" s="320"/>
      <c r="AG3" s="320"/>
      <c r="AH3" s="320"/>
      <c r="AI3" s="320"/>
      <c r="AJ3" s="323"/>
      <c r="AK3" s="21"/>
    </row>
    <row r="4" spans="2:40" ht="15" customHeight="1" x14ac:dyDescent="0.25">
      <c r="B4" s="333"/>
      <c r="C4" s="334"/>
      <c r="D4" s="334"/>
      <c r="E4" s="334"/>
      <c r="F4" s="320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  <c r="R4" s="320"/>
      <c r="S4" s="320"/>
      <c r="T4" s="320"/>
      <c r="U4" s="320"/>
      <c r="V4" s="320"/>
      <c r="W4" s="320"/>
      <c r="X4" s="320"/>
      <c r="Y4" s="320"/>
      <c r="Z4" s="320"/>
      <c r="AA4" s="320"/>
      <c r="AB4" s="320"/>
      <c r="AC4" s="320"/>
      <c r="AD4" s="320"/>
      <c r="AE4" s="320"/>
      <c r="AF4" s="320"/>
      <c r="AG4" s="320"/>
      <c r="AH4" s="320"/>
      <c r="AI4" s="320"/>
      <c r="AJ4" s="323"/>
      <c r="AK4" s="21"/>
    </row>
    <row r="5" spans="2:40" ht="19.5" customHeight="1" thickBot="1" x14ac:dyDescent="0.3">
      <c r="B5" s="335"/>
      <c r="C5" s="336"/>
      <c r="D5" s="336"/>
      <c r="E5" s="336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1"/>
      <c r="S5" s="321"/>
      <c r="T5" s="321"/>
      <c r="U5" s="321"/>
      <c r="V5" s="321"/>
      <c r="W5" s="321"/>
      <c r="X5" s="321"/>
      <c r="Y5" s="321"/>
      <c r="Z5" s="321"/>
      <c r="AA5" s="321"/>
      <c r="AB5" s="321"/>
      <c r="AC5" s="321"/>
      <c r="AD5" s="321"/>
      <c r="AE5" s="321"/>
      <c r="AF5" s="321"/>
      <c r="AG5" s="321"/>
      <c r="AH5" s="321"/>
      <c r="AI5" s="321"/>
      <c r="AJ5" s="324"/>
      <c r="AK5" s="22"/>
    </row>
    <row r="6" spans="2:40" ht="15" customHeight="1" x14ac:dyDescent="0.25">
      <c r="B6" s="325" t="s">
        <v>279</v>
      </c>
      <c r="C6" s="326"/>
      <c r="D6" s="326"/>
      <c r="E6" s="329">
        <v>2020</v>
      </c>
      <c r="F6" s="313" t="str">
        <f>TEXT(F8,"ddd")</f>
        <v>lun</v>
      </c>
      <c r="G6" s="313" t="str">
        <f t="shared" ref="G6:AJ6" si="0">TEXT(G8,"ddd")</f>
        <v>mar</v>
      </c>
      <c r="H6" s="313" t="str">
        <f t="shared" si="0"/>
        <v>mié</v>
      </c>
      <c r="I6" s="313" t="str">
        <f t="shared" si="0"/>
        <v>jue</v>
      </c>
      <c r="J6" s="313" t="str">
        <f t="shared" si="0"/>
        <v>vie</v>
      </c>
      <c r="K6" s="313" t="str">
        <f t="shared" si="0"/>
        <v>sáb</v>
      </c>
      <c r="L6" s="313" t="str">
        <f t="shared" si="0"/>
        <v>dom</v>
      </c>
      <c r="M6" s="313" t="str">
        <f t="shared" si="0"/>
        <v>lun</v>
      </c>
      <c r="N6" s="313" t="str">
        <f t="shared" si="0"/>
        <v>mar</v>
      </c>
      <c r="O6" s="313" t="str">
        <f t="shared" si="0"/>
        <v>mié</v>
      </c>
      <c r="P6" s="313" t="str">
        <f t="shared" si="0"/>
        <v>jue</v>
      </c>
      <c r="Q6" s="313" t="str">
        <f t="shared" si="0"/>
        <v>vie</v>
      </c>
      <c r="R6" s="313" t="str">
        <f t="shared" si="0"/>
        <v>sáb</v>
      </c>
      <c r="S6" s="313" t="str">
        <f t="shared" si="0"/>
        <v>dom</v>
      </c>
      <c r="T6" s="313" t="str">
        <f t="shared" si="0"/>
        <v>lun</v>
      </c>
      <c r="U6" s="313" t="str">
        <f t="shared" si="0"/>
        <v>mar</v>
      </c>
      <c r="V6" s="313" t="str">
        <f t="shared" si="0"/>
        <v>mié</v>
      </c>
      <c r="W6" s="313" t="str">
        <f t="shared" si="0"/>
        <v>jue</v>
      </c>
      <c r="X6" s="313" t="str">
        <f t="shared" si="0"/>
        <v>vie</v>
      </c>
      <c r="Y6" s="313" t="str">
        <f t="shared" si="0"/>
        <v>sáb</v>
      </c>
      <c r="Z6" s="313" t="str">
        <f t="shared" si="0"/>
        <v>dom</v>
      </c>
      <c r="AA6" s="313" t="str">
        <f t="shared" si="0"/>
        <v>lun</v>
      </c>
      <c r="AB6" s="313" t="str">
        <f t="shared" si="0"/>
        <v>mar</v>
      </c>
      <c r="AC6" s="313" t="str">
        <f t="shared" si="0"/>
        <v>mié</v>
      </c>
      <c r="AD6" s="313" t="str">
        <f t="shared" si="0"/>
        <v>jue</v>
      </c>
      <c r="AE6" s="313" t="str">
        <f t="shared" si="0"/>
        <v>vie</v>
      </c>
      <c r="AF6" s="313" t="str">
        <f t="shared" si="0"/>
        <v>sáb</v>
      </c>
      <c r="AG6" s="313" t="str">
        <f t="shared" si="0"/>
        <v>dom</v>
      </c>
      <c r="AH6" s="313" t="str">
        <f t="shared" si="0"/>
        <v>lun</v>
      </c>
      <c r="AI6" s="313" t="str">
        <f t="shared" si="0"/>
        <v>mar</v>
      </c>
      <c r="AJ6" s="337" t="str">
        <f t="shared" si="0"/>
        <v>mié</v>
      </c>
      <c r="AK6" s="182"/>
      <c r="AL6" s="301"/>
    </row>
    <row r="7" spans="2:40" ht="15" customHeight="1" x14ac:dyDescent="0.25">
      <c r="B7" s="327"/>
      <c r="C7" s="328"/>
      <c r="D7" s="328"/>
      <c r="E7" s="330"/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  <c r="U7" s="314"/>
      <c r="V7" s="314"/>
      <c r="W7" s="314"/>
      <c r="X7" s="314"/>
      <c r="Y7" s="314"/>
      <c r="Z7" s="314"/>
      <c r="AA7" s="314"/>
      <c r="AB7" s="314"/>
      <c r="AC7" s="314"/>
      <c r="AD7" s="314"/>
      <c r="AE7" s="314"/>
      <c r="AF7" s="314"/>
      <c r="AG7" s="314"/>
      <c r="AH7" s="314"/>
      <c r="AI7" s="314"/>
      <c r="AJ7" s="338"/>
      <c r="AK7" s="182"/>
      <c r="AL7" s="301"/>
    </row>
    <row r="8" spans="2:40" ht="22.5" customHeight="1" thickBot="1" x14ac:dyDescent="0.3">
      <c r="B8" s="310" t="s">
        <v>1</v>
      </c>
      <c r="C8" s="311"/>
      <c r="D8" s="311"/>
      <c r="E8" s="312"/>
      <c r="F8" s="181">
        <f>DATE(E6,_xlfn.IFS(B6="ENERO",1,B6="FEBRERO",2,B6="MARZO",3,B6="ABRIL",4,B6="MAYO",5,B6="JUNIO",6,B6="JULIO",7,B6="AGOSTO",8,B6="SEPTIEMBRE",9,B6="OCTUBRE",10,B6="NOVIEMBRE",11,B6="DICIEMBRE",12),1)</f>
        <v>43983</v>
      </c>
      <c r="G8" s="181">
        <f>F8+1</f>
        <v>43984</v>
      </c>
      <c r="H8" s="181">
        <f t="shared" ref="H8:AK8" si="1">G8+1</f>
        <v>43985</v>
      </c>
      <c r="I8" s="181">
        <f t="shared" si="1"/>
        <v>43986</v>
      </c>
      <c r="J8" s="181">
        <f t="shared" si="1"/>
        <v>43987</v>
      </c>
      <c r="K8" s="181">
        <f t="shared" si="1"/>
        <v>43988</v>
      </c>
      <c r="L8" s="181">
        <f t="shared" si="1"/>
        <v>43989</v>
      </c>
      <c r="M8" s="181">
        <f t="shared" si="1"/>
        <v>43990</v>
      </c>
      <c r="N8" s="181">
        <f t="shared" si="1"/>
        <v>43991</v>
      </c>
      <c r="O8" s="181">
        <f t="shared" si="1"/>
        <v>43992</v>
      </c>
      <c r="P8" s="181">
        <f t="shared" si="1"/>
        <v>43993</v>
      </c>
      <c r="Q8" s="181">
        <f t="shared" si="1"/>
        <v>43994</v>
      </c>
      <c r="R8" s="181">
        <f t="shared" si="1"/>
        <v>43995</v>
      </c>
      <c r="S8" s="181">
        <f t="shared" si="1"/>
        <v>43996</v>
      </c>
      <c r="T8" s="181">
        <f t="shared" si="1"/>
        <v>43997</v>
      </c>
      <c r="U8" s="181">
        <f t="shared" si="1"/>
        <v>43998</v>
      </c>
      <c r="V8" s="181">
        <f t="shared" si="1"/>
        <v>43999</v>
      </c>
      <c r="W8" s="181">
        <f t="shared" si="1"/>
        <v>44000</v>
      </c>
      <c r="X8" s="181">
        <f t="shared" si="1"/>
        <v>44001</v>
      </c>
      <c r="Y8" s="181">
        <f t="shared" si="1"/>
        <v>44002</v>
      </c>
      <c r="Z8" s="181">
        <f t="shared" si="1"/>
        <v>44003</v>
      </c>
      <c r="AA8" s="181">
        <f t="shared" si="1"/>
        <v>44004</v>
      </c>
      <c r="AB8" s="181">
        <f t="shared" si="1"/>
        <v>44005</v>
      </c>
      <c r="AC8" s="181">
        <f t="shared" si="1"/>
        <v>44006</v>
      </c>
      <c r="AD8" s="181">
        <f t="shared" si="1"/>
        <v>44007</v>
      </c>
      <c r="AE8" s="181">
        <f t="shared" si="1"/>
        <v>44008</v>
      </c>
      <c r="AF8" s="181">
        <f t="shared" si="1"/>
        <v>44009</v>
      </c>
      <c r="AG8" s="181">
        <f t="shared" si="1"/>
        <v>44010</v>
      </c>
      <c r="AH8" s="181">
        <f t="shared" si="1"/>
        <v>44011</v>
      </c>
      <c r="AI8" s="181">
        <f t="shared" si="1"/>
        <v>44012</v>
      </c>
      <c r="AJ8" s="183">
        <f t="shared" si="1"/>
        <v>44013</v>
      </c>
      <c r="AK8" s="184">
        <f t="shared" si="1"/>
        <v>44014</v>
      </c>
      <c r="AL8" s="301"/>
      <c r="AM8" t="s">
        <v>1</v>
      </c>
    </row>
    <row r="9" spans="2:40" ht="21.95" customHeight="1" x14ac:dyDescent="0.25">
      <c r="B9" s="317" t="s">
        <v>290</v>
      </c>
      <c r="C9" s="318"/>
      <c r="D9" s="315" t="s">
        <v>289</v>
      </c>
      <c r="E9" s="316"/>
      <c r="F9" s="150"/>
      <c r="G9" s="151"/>
      <c r="H9" s="151"/>
      <c r="I9" s="151"/>
      <c r="J9" s="151"/>
      <c r="K9" s="151" t="s">
        <v>272</v>
      </c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290</v>
      </c>
      <c r="AN9" t="s">
        <v>69</v>
      </c>
    </row>
    <row r="10" spans="2:40" ht="21.95" customHeight="1" x14ac:dyDescent="0.25">
      <c r="B10" s="302"/>
      <c r="C10" s="303"/>
      <c r="D10" s="304"/>
      <c r="E10" s="305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89</v>
      </c>
    </row>
    <row r="11" spans="2:40" ht="21.95" customHeight="1" x14ac:dyDescent="0.25">
      <c r="B11" s="302"/>
      <c r="C11" s="303"/>
      <c r="D11" s="304"/>
      <c r="E11" s="305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2"/>
      <c r="C12" s="303"/>
      <c r="D12" s="304"/>
      <c r="E12" s="305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2"/>
      <c r="C13" s="303"/>
      <c r="D13" s="304"/>
      <c r="E13" s="305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2"/>
      <c r="C14" s="303"/>
      <c r="D14" s="304"/>
      <c r="E14" s="305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2"/>
      <c r="C15" s="303"/>
      <c r="D15" s="304"/>
      <c r="E15" s="305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2"/>
      <c r="C16" s="303"/>
      <c r="D16" s="304"/>
      <c r="E16" s="305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2"/>
      <c r="C17" s="303"/>
      <c r="D17" s="304"/>
      <c r="E17" s="305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2"/>
      <c r="C18" s="303"/>
      <c r="D18" s="304"/>
      <c r="E18" s="305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2"/>
      <c r="C19" s="303"/>
      <c r="D19" s="304"/>
      <c r="E19" s="305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2"/>
      <c r="C20" s="303"/>
      <c r="D20" s="304"/>
      <c r="E20" s="305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2"/>
      <c r="C21" s="303"/>
      <c r="D21" s="304"/>
      <c r="E21" s="305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2"/>
      <c r="C22" s="303"/>
      <c r="D22" s="304"/>
      <c r="E22" s="305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2"/>
      <c r="C23" s="303"/>
      <c r="D23" s="304"/>
      <c r="E23" s="305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2"/>
      <c r="C24" s="303"/>
      <c r="D24" s="304"/>
      <c r="E24" s="305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2"/>
      <c r="C25" s="303"/>
      <c r="D25" s="304"/>
      <c r="E25" s="305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2"/>
      <c r="C26" s="303"/>
      <c r="D26" s="304"/>
      <c r="E26" s="305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2"/>
      <c r="C27" s="303"/>
      <c r="D27" s="304"/>
      <c r="E27" s="305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2"/>
      <c r="C28" s="303"/>
      <c r="D28" s="304"/>
      <c r="E28" s="305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2"/>
      <c r="C29" s="303"/>
      <c r="D29" s="304" t="str">
        <f>IF(B29="","",VLOOKUP(B29,'BD Personal'!#REF!,2,FALSE))</f>
        <v/>
      </c>
      <c r="E29" s="305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2"/>
      <c r="C30" s="303"/>
      <c r="D30" s="304" t="str">
        <f>IF(B30="","",VLOOKUP(B30,'BD Personal'!#REF!,2,FALSE))</f>
        <v/>
      </c>
      <c r="E30" s="305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2"/>
      <c r="C31" s="303"/>
      <c r="D31" s="304" t="str">
        <f>IF(B31="","",VLOOKUP(B31,'BD Personal'!#REF!,2,FALSE))</f>
        <v/>
      </c>
      <c r="E31" s="305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2"/>
      <c r="C32" s="303"/>
      <c r="D32" s="304" t="str">
        <f>IF(B32="","",VLOOKUP(B32,'BD Personal'!#REF!,2,FALSE))</f>
        <v/>
      </c>
      <c r="E32" s="305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2"/>
      <c r="C33" s="303"/>
      <c r="D33" s="304" t="str">
        <f>IF(B33="","",VLOOKUP(B33,'BD Personal'!#REF!,2,FALSE))</f>
        <v/>
      </c>
      <c r="E33" s="305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2"/>
      <c r="C34" s="303"/>
      <c r="D34" s="304" t="str">
        <f>IF(B34="","",VLOOKUP(B34,'BD Personal'!#REF!,2,FALSE))</f>
        <v/>
      </c>
      <c r="E34" s="305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2"/>
      <c r="C35" s="303"/>
      <c r="D35" s="304" t="str">
        <f>IF(B35="","",VLOOKUP(B35,'BD Personal'!#REF!,2,FALSE))</f>
        <v/>
      </c>
      <c r="E35" s="305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2"/>
      <c r="C36" s="303"/>
      <c r="D36" s="304" t="str">
        <f>IF(B36="","",VLOOKUP(B36,'BD Personal'!#REF!,2,FALSE))</f>
        <v/>
      </c>
      <c r="E36" s="305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2"/>
      <c r="C37" s="303"/>
      <c r="D37" s="304" t="str">
        <f>IF(B37="","",VLOOKUP(B37,'BD Personal'!#REF!,2,FALSE))</f>
        <v/>
      </c>
      <c r="E37" s="305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2"/>
      <c r="C38" s="303"/>
      <c r="D38" s="304" t="str">
        <f>IF(B38="","",VLOOKUP(B38,'BD Personal'!#REF!,2,FALSE))</f>
        <v/>
      </c>
      <c r="E38" s="305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2"/>
      <c r="C39" s="303"/>
      <c r="D39" s="304" t="str">
        <f>IF(B39="","",VLOOKUP(B39,'BD Personal'!#REF!,2,FALSE))</f>
        <v/>
      </c>
      <c r="E39" s="305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2"/>
      <c r="C40" s="303"/>
      <c r="D40" s="304" t="str">
        <f>IF(B40="","",VLOOKUP(B40,'BD Personal'!#REF!,2,FALSE))</f>
        <v/>
      </c>
      <c r="E40" s="305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2"/>
      <c r="C41" s="303"/>
      <c r="D41" s="304" t="str">
        <f>IF(B41="","",VLOOKUP(B41,'BD Personal'!#REF!,2,FALSE))</f>
        <v/>
      </c>
      <c r="E41" s="305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2"/>
      <c r="C42" s="303"/>
      <c r="D42" s="304" t="str">
        <f>IF(B42="","",VLOOKUP(B42,'BD Personal'!#REF!,2,FALSE))</f>
        <v/>
      </c>
      <c r="E42" s="305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2"/>
      <c r="C43" s="303"/>
      <c r="D43" s="304" t="str">
        <f>IF(B43="","",VLOOKUP(B43,'BD Personal'!#REF!,2,FALSE))</f>
        <v/>
      </c>
      <c r="E43" s="305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2"/>
      <c r="C44" s="303"/>
      <c r="D44" s="304" t="str">
        <f>IF(B44="","",VLOOKUP(B44,'BD Personal'!#REF!,2,FALSE))</f>
        <v/>
      </c>
      <c r="E44" s="305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2"/>
      <c r="C45" s="303"/>
      <c r="D45" s="304" t="str">
        <f>IF(B45="","",VLOOKUP(B45,'BD Personal'!#REF!,2,FALSE))</f>
        <v/>
      </c>
      <c r="E45" s="305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2"/>
      <c r="C46" s="303"/>
      <c r="D46" s="304" t="str">
        <f>IF(B46="","",VLOOKUP(B46,'BD Personal'!#REF!,2,FALSE))</f>
        <v/>
      </c>
      <c r="E46" s="305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2"/>
      <c r="C47" s="303"/>
      <c r="D47" s="304" t="str">
        <f>IF(B47="","",VLOOKUP(B47,'BD Personal'!#REF!,2,FALSE))</f>
        <v/>
      </c>
      <c r="E47" s="305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2"/>
      <c r="C48" s="303"/>
      <c r="D48" s="304" t="str">
        <f>IF(B48="","",VLOOKUP(B48,'BD Personal'!#REF!,2,FALSE))</f>
        <v/>
      </c>
      <c r="E48" s="305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2"/>
      <c r="C49" s="303"/>
      <c r="D49" s="304" t="str">
        <f>IF(B49="","",VLOOKUP(B49,'BD Personal'!#REF!,2,FALSE))</f>
        <v/>
      </c>
      <c r="E49" s="305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06"/>
      <c r="C50" s="307"/>
      <c r="D50" s="308" t="str">
        <f>IF(B50="","",VLOOKUP(B50,'BD Personal'!#REF!,2,FALSE))</f>
        <v/>
      </c>
      <c r="E50" s="309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Ixzlhf09+wKYo2TX05AjXXYKDHnmoE1zwgPGTf20B2EW2CJpL8Tj8kaOHwz9sACmJ0LBYQQmKh9bMrfVLL96Q==" saltValue="gyq2pnoH1bzOwI4AXGcNDQ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41" priority="58">
      <formula>WEEKDAY(F8,2)=7</formula>
    </cfRule>
  </conditionalFormatting>
  <conditionalFormatting sqref="G8:AK8">
    <cfRule type="expression" dxfId="40" priority="54">
      <formula>WEEKDAY(G8,2)=7</formula>
    </cfRule>
  </conditionalFormatting>
  <conditionalFormatting sqref="F6:F7">
    <cfRule type="expression" dxfId="39" priority="53">
      <formula>WEEKDAY(F8,2)=7</formula>
    </cfRule>
  </conditionalFormatting>
  <conditionalFormatting sqref="G6:AJ7">
    <cfRule type="expression" dxfId="38" priority="51">
      <formula>WEEKDAY(G8,2)=7</formula>
    </cfRule>
  </conditionalFormatting>
  <conditionalFormatting sqref="F9:AJ50">
    <cfRule type="cellIs" dxfId="37" priority="1" operator="equal">
      <formula>"IM"</formula>
    </cfRule>
    <cfRule type="cellIs" dxfId="36" priority="2" operator="equal">
      <formula>"V"</formula>
    </cfRule>
    <cfRule type="cellIs" dxfId="35" priority="3" operator="equal">
      <formula>"DE"</formula>
    </cfRule>
    <cfRule type="cellIs" dxfId="34" priority="4" operator="equal">
      <formula>"T2"</formula>
    </cfRule>
    <cfRule type="cellIs" dxfId="33" priority="5" operator="equal">
      <formula>"T3"</formula>
    </cfRule>
    <cfRule type="cellIs" dxfId="32" priority="6" operator="equal">
      <formula>"T1"</formula>
    </cfRule>
    <cfRule type="cellIs" dxfId="31" priority="8" operator="equal">
      <formula>"N"</formula>
    </cfRule>
    <cfRule type="cellIs" dxfId="30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40"/>
      <c r="E1" s="340"/>
      <c r="F1" s="339" t="s">
        <v>68</v>
      </c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</row>
    <row r="2" spans="1:18" ht="15" customHeight="1" x14ac:dyDescent="0.25">
      <c r="A2" s="24"/>
      <c r="B2" s="24"/>
      <c r="C2" s="24"/>
      <c r="D2" s="340"/>
      <c r="E2" s="340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339"/>
    </row>
    <row r="3" spans="1:18" ht="15" customHeight="1" x14ac:dyDescent="0.25">
      <c r="A3" s="24"/>
      <c r="B3" s="24"/>
      <c r="C3" s="24"/>
      <c r="D3" s="340"/>
      <c r="E3" s="340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</row>
    <row r="4" spans="1:18" ht="26.25" customHeight="1" x14ac:dyDescent="0.25">
      <c r="A4" s="24"/>
      <c r="B4" s="24"/>
      <c r="C4" s="24"/>
      <c r="D4" s="340"/>
      <c r="E4" s="340"/>
      <c r="F4" s="339"/>
      <c r="G4" s="339"/>
      <c r="H4" s="339"/>
      <c r="I4" s="339"/>
      <c r="J4" s="339"/>
      <c r="K4" s="339"/>
      <c r="L4" s="339"/>
      <c r="M4" s="339"/>
      <c r="N4" s="339"/>
      <c r="O4" s="339"/>
      <c r="P4" s="339"/>
      <c r="Q4" s="339"/>
      <c r="R4" s="339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F5CF-EBF0-4E66-BA65-2517FC6CA4B6}">
  <sheetPr codeName="Hoja7">
    <pageSetUpPr fitToPage="1"/>
  </sheetPr>
  <dimension ref="A1:X79"/>
  <sheetViews>
    <sheetView showGridLines="0" view="pageBreakPreview" topLeftCell="A7" zoomScale="70" zoomScaleNormal="70" zoomScaleSheetLayoutView="70" zoomScalePageLayoutView="90" workbookViewId="0">
      <selection activeCell="P26" sqref="P26:Q26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01/06/2000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5" t="s">
        <v>16</v>
      </c>
      <c r="C2" s="266"/>
      <c r="D2" s="267"/>
      <c r="E2" s="274" t="s">
        <v>17</v>
      </c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6"/>
      <c r="R2" s="1"/>
      <c r="S2" s="3"/>
      <c r="T2" s="3"/>
      <c r="U2" s="3"/>
      <c r="V2" s="1"/>
    </row>
    <row r="3" spans="1:24" ht="15.75" customHeight="1" x14ac:dyDescent="0.25">
      <c r="A3" s="1"/>
      <c r="B3" s="268"/>
      <c r="C3" s="269"/>
      <c r="D3" s="270"/>
      <c r="E3" s="277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9"/>
      <c r="R3" s="1"/>
      <c r="S3" s="4"/>
      <c r="T3" s="1"/>
      <c r="U3" s="1"/>
      <c r="V3" s="1"/>
    </row>
    <row r="4" spans="1:24" ht="15.75" customHeight="1" x14ac:dyDescent="0.25">
      <c r="A4" s="1"/>
      <c r="B4" s="268"/>
      <c r="C4" s="269"/>
      <c r="D4" s="270"/>
      <c r="E4" s="277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9"/>
      <c r="R4" s="1"/>
      <c r="S4" s="4"/>
      <c r="T4" s="1"/>
      <c r="U4" s="1"/>
      <c r="V4" s="1"/>
    </row>
    <row r="5" spans="1:24" ht="15.75" customHeight="1" thickBot="1" x14ac:dyDescent="0.3">
      <c r="A5" s="1"/>
      <c r="B5" s="271"/>
      <c r="C5" s="272"/>
      <c r="D5" s="273"/>
      <c r="E5" s="280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1" t="s">
        <v>18</v>
      </c>
      <c r="D7" s="251"/>
      <c r="E7" s="257" t="str">
        <f>IF($E$8="","",VLOOKUP($E$8,'BD Personal'!$A$6:$R$64,3,FALSE))&amp;" "&amp;IF($E$8="","",VLOOKUP($E$8,'BD Personal'!$A$6:$R$64,4,FALSE))</f>
        <v>pollo perez</v>
      </c>
      <c r="F7" s="257"/>
      <c r="G7" s="257"/>
      <c r="H7" s="257"/>
      <c r="I7" s="251" t="s">
        <v>19</v>
      </c>
      <c r="J7" s="251"/>
      <c r="K7" s="257" t="str">
        <f>IF($E$8="","",VLOOKUP($E$8,'BD Personal'!$A$6:$R$64,2,FALSE))</f>
        <v>Femenino</v>
      </c>
      <c r="L7" s="257"/>
      <c r="M7" s="257"/>
      <c r="N7" s="251" t="s">
        <v>20</v>
      </c>
      <c r="O7" s="251"/>
      <c r="P7" s="283">
        <f ca="1">IF($E$8="","",TODAY()-VLOOKUP($E$8,'BD Personal'!$A$6:$R$64,8,FALSE))</f>
        <v>7320</v>
      </c>
      <c r="Q7" s="284"/>
      <c r="S7" s="4"/>
    </row>
    <row r="8" spans="1:24" ht="26.1" customHeight="1" x14ac:dyDescent="0.25">
      <c r="B8" s="130"/>
      <c r="C8" s="251" t="s">
        <v>21</v>
      </c>
      <c r="D8" s="251"/>
      <c r="E8" s="262">
        <v>9897000</v>
      </c>
      <c r="F8" s="262"/>
      <c r="G8" s="262"/>
      <c r="H8" s="262"/>
      <c r="I8" s="251" t="s">
        <v>22</v>
      </c>
      <c r="J8" s="251"/>
      <c r="K8" s="257" t="str">
        <f>IF($E$8="","",VLOOKUP($E$8,'BD Personal'!$A$6:$R$64,11,FALSE))</f>
        <v>Finanzas</v>
      </c>
      <c r="L8" s="257"/>
      <c r="M8" s="257"/>
      <c r="N8" s="251" t="s">
        <v>23</v>
      </c>
      <c r="O8" s="251"/>
      <c r="P8" s="263" t="str">
        <f>IF($E$8="","",VLOOKUP($E$8,'BD Personal'!$A$6:$R$64,10,FALSE))</f>
        <v>04/06/2020</v>
      </c>
      <c r="Q8" s="264"/>
      <c r="S8" s="4"/>
      <c r="T8" s="6"/>
      <c r="U8" s="285"/>
      <c r="V8" s="285"/>
      <c r="W8" s="285"/>
      <c r="X8" s="2"/>
    </row>
    <row r="9" spans="1:24" ht="26.1" customHeight="1" x14ac:dyDescent="0.2">
      <c r="B9" s="130"/>
      <c r="C9" s="251" t="s">
        <v>24</v>
      </c>
      <c r="D9" s="251"/>
      <c r="E9" s="257" t="str">
        <f>IF($E$8="","",VLOOKUP($E$8,'BD Personal'!$A$6:$R$64,13,FALSE))</f>
        <v>Legal</v>
      </c>
      <c r="F9" s="257"/>
      <c r="G9" s="257"/>
      <c r="H9" s="257"/>
      <c r="I9" s="251" t="s">
        <v>25</v>
      </c>
      <c r="J9" s="251"/>
      <c r="K9" s="257" t="str">
        <f>IF($E$8="","",VLOOKUP($E$8,'BD Personal'!$A$6:$R$64,14,FALSE))</f>
        <v>5 X 2 8 Horas</v>
      </c>
      <c r="L9" s="257"/>
      <c r="M9" s="257"/>
      <c r="N9" s="260" t="s">
        <v>26</v>
      </c>
      <c r="O9" s="260"/>
      <c r="P9" s="258"/>
      <c r="Q9" s="259"/>
      <c r="S9" s="4"/>
      <c r="T9" s="7"/>
      <c r="U9" s="7"/>
      <c r="V9" s="261"/>
      <c r="W9" s="261"/>
      <c r="X9" s="261"/>
    </row>
    <row r="10" spans="1:24" ht="26.1" customHeight="1" x14ac:dyDescent="0.25">
      <c r="B10" s="130"/>
      <c r="C10" s="251" t="s">
        <v>27</v>
      </c>
      <c r="D10" s="251"/>
      <c r="E10" s="256" t="str">
        <f>IF($E$8="","",VLOOKUP($E$8,'BD Personal'!$A$6:$R$64,15,FALSE))</f>
        <v>Caleb Brett</v>
      </c>
      <c r="F10" s="256"/>
      <c r="G10" s="256"/>
      <c r="H10" s="256"/>
      <c r="I10" s="251" t="s">
        <v>28</v>
      </c>
      <c r="J10" s="251"/>
      <c r="K10" s="257" t="str">
        <f>IF($E$8="","",VLOOKUP($E$8,'BD Personal'!$A$6:$R$64,17,FALSE))</f>
        <v>001</v>
      </c>
      <c r="L10" s="257"/>
      <c r="M10" s="257"/>
      <c r="N10" s="251" t="s">
        <v>29</v>
      </c>
      <c r="O10" s="251"/>
      <c r="P10" s="258" t="str">
        <f>IF($E$8="","",VLOOKUP($E$8,'BD Personal'!$A$6:$R$64,18,FALSE))</f>
        <v>1</v>
      </c>
      <c r="Q10" s="259"/>
      <c r="S10" s="4"/>
      <c r="T10" s="8"/>
      <c r="U10" s="250"/>
      <c r="V10" s="250"/>
      <c r="W10" s="250"/>
      <c r="X10" s="2"/>
    </row>
    <row r="11" spans="1:24" ht="26.1" customHeight="1" thickBot="1" x14ac:dyDescent="0.25">
      <c r="B11" s="130"/>
      <c r="C11" s="251" t="s">
        <v>30</v>
      </c>
      <c r="D11" s="251"/>
      <c r="E11" s="252" t="str">
        <f>IF($E$8="","",VLOOKUP($E$8,'BD Personal'!$A$6:$R$64,16,FALSE))</f>
        <v>Calle 127 - Bogota</v>
      </c>
      <c r="F11" s="252"/>
      <c r="G11" s="252"/>
      <c r="H11" s="252"/>
      <c r="I11" s="253" t="s">
        <v>31</v>
      </c>
      <c r="J11" s="253"/>
      <c r="K11" s="254" t="str">
        <f>Cronograma!B6</f>
        <v>JUNIO</v>
      </c>
      <c r="L11" s="254"/>
      <c r="M11" s="254"/>
      <c r="N11" s="131"/>
      <c r="O11" s="132"/>
      <c r="P11" s="133"/>
      <c r="Q11" s="134"/>
      <c r="S11" s="4"/>
      <c r="T11" s="7"/>
      <c r="U11" s="2"/>
      <c r="V11" s="255"/>
      <c r="W11" s="255"/>
      <c r="X11" s="255"/>
    </row>
    <row r="12" spans="1:24" ht="27.75" customHeight="1" x14ac:dyDescent="0.25">
      <c r="A12" s="1"/>
      <c r="B12" s="242" t="s">
        <v>32</v>
      </c>
      <c r="C12" s="243"/>
      <c r="D12" s="243" t="s">
        <v>33</v>
      </c>
      <c r="E12" s="243"/>
      <c r="F12" s="228" t="s">
        <v>2</v>
      </c>
      <c r="G12" s="228" t="s">
        <v>176</v>
      </c>
      <c r="H12" s="228" t="s">
        <v>3</v>
      </c>
      <c r="I12" s="228" t="s">
        <v>4</v>
      </c>
      <c r="J12" s="228" t="s">
        <v>34</v>
      </c>
      <c r="K12" s="228" t="s">
        <v>35</v>
      </c>
      <c r="L12" s="228" t="s">
        <v>36</v>
      </c>
      <c r="M12" s="228" t="s">
        <v>37</v>
      </c>
      <c r="N12" s="228" t="s">
        <v>38</v>
      </c>
      <c r="O12" s="230" t="s">
        <v>5</v>
      </c>
      <c r="P12" s="244" t="s">
        <v>39</v>
      </c>
      <c r="Q12" s="245"/>
      <c r="R12" s="1"/>
      <c r="S12" s="1"/>
      <c r="T12" s="1"/>
      <c r="U12" s="1"/>
      <c r="V12" s="1"/>
    </row>
    <row r="13" spans="1:24" ht="13.5" customHeight="1" thickBot="1" x14ac:dyDescent="0.3">
      <c r="A13" s="1"/>
      <c r="B13" s="185" t="s">
        <v>40</v>
      </c>
      <c r="C13" s="186" t="s">
        <v>41</v>
      </c>
      <c r="D13" s="11" t="s">
        <v>42</v>
      </c>
      <c r="E13" s="11" t="s">
        <v>43</v>
      </c>
      <c r="F13" s="229"/>
      <c r="G13" s="229"/>
      <c r="H13" s="229"/>
      <c r="I13" s="229"/>
      <c r="J13" s="229"/>
      <c r="K13" s="229"/>
      <c r="L13" s="229"/>
      <c r="M13" s="229"/>
      <c r="N13" s="229"/>
      <c r="O13" s="231"/>
      <c r="P13" s="246"/>
      <c r="Q13" s="247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43983</v>
      </c>
      <c r="C14" s="97" t="str">
        <f t="shared" ref="C14:C44" si="0">TEXT(B14, "dddd")</f>
        <v>lunes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8"/>
      <c r="Q14" s="24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43984</v>
      </c>
      <c r="C15" s="106" t="str">
        <f t="shared" si="0"/>
        <v>martes</v>
      </c>
      <c r="D15" s="187"/>
      <c r="E15" s="18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2"/>
      <c r="Q15" s="233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43985</v>
      </c>
      <c r="C16" s="106" t="str">
        <f t="shared" si="0"/>
        <v>miércoles</v>
      </c>
      <c r="D16" s="187"/>
      <c r="E16" s="18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2"/>
      <c r="Q16" s="233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43986</v>
      </c>
      <c r="C17" s="106" t="str">
        <f t="shared" si="0"/>
        <v>jueves</v>
      </c>
      <c r="D17" s="187"/>
      <c r="E17" s="18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2"/>
      <c r="Q17" s="233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43987</v>
      </c>
      <c r="C18" s="106" t="str">
        <f t="shared" si="0"/>
        <v>viernes</v>
      </c>
      <c r="D18" s="187"/>
      <c r="E18" s="18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2"/>
      <c r="Q18" s="233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43988</v>
      </c>
      <c r="C19" s="106" t="str">
        <f t="shared" si="0"/>
        <v>sábado</v>
      </c>
      <c r="D19" s="187">
        <v>0.23958333333333334</v>
      </c>
      <c r="E19" s="188">
        <v>0.3125</v>
      </c>
      <c r="F19" s="109"/>
      <c r="G19" s="110"/>
      <c r="H19" s="111">
        <v>1.5</v>
      </c>
      <c r="I19" s="112">
        <v>0.25</v>
      </c>
      <c r="J19" s="112"/>
      <c r="K19" s="112"/>
      <c r="L19" s="112"/>
      <c r="M19" s="112"/>
      <c r="N19" s="112"/>
      <c r="O19" s="113"/>
      <c r="P19" s="232"/>
      <c r="Q19" s="233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43989</v>
      </c>
      <c r="C20" s="106" t="str">
        <f t="shared" si="0"/>
        <v>domingo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2"/>
      <c r="Q20" s="233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43990</v>
      </c>
      <c r="C21" s="106" t="str">
        <f t="shared" si="0"/>
        <v>lunes</v>
      </c>
      <c r="D21" s="187"/>
      <c r="E21" s="18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2"/>
      <c r="Q21" s="233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43991</v>
      </c>
      <c r="C22" s="106" t="str">
        <f t="shared" si="0"/>
        <v>martes</v>
      </c>
      <c r="D22" s="187"/>
      <c r="E22" s="18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2"/>
      <c r="Q22" s="233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43992</v>
      </c>
      <c r="C23" s="106" t="str">
        <f t="shared" si="0"/>
        <v>miércoles</v>
      </c>
      <c r="D23" s="187"/>
      <c r="E23" s="189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2"/>
      <c r="Q23" s="233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43993</v>
      </c>
      <c r="C24" s="106" t="str">
        <f t="shared" si="0"/>
        <v>jueves</v>
      </c>
      <c r="D24" s="187"/>
      <c r="E24" s="18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2"/>
      <c r="Q24" s="233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43994</v>
      </c>
      <c r="C25" s="106" t="str">
        <f t="shared" si="0"/>
        <v>viernes</v>
      </c>
      <c r="D25" s="187"/>
      <c r="E25" s="18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2"/>
      <c r="Q25" s="233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43995</v>
      </c>
      <c r="C26" s="106" t="str">
        <f t="shared" si="0"/>
        <v>sábado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2"/>
      <c r="Q26" s="233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43996</v>
      </c>
      <c r="C27" s="106" t="str">
        <f t="shared" si="0"/>
        <v>domingo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2"/>
      <c r="Q27" s="233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43997</v>
      </c>
      <c r="C28" s="106" t="str">
        <f t="shared" si="0"/>
        <v>lunes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2"/>
      <c r="Q28" s="233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43998</v>
      </c>
      <c r="C29" s="106" t="str">
        <f t="shared" si="0"/>
        <v>martes</v>
      </c>
      <c r="D29" s="187"/>
      <c r="E29" s="18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2"/>
      <c r="Q29" s="233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43999</v>
      </c>
      <c r="C30" s="106" t="str">
        <f t="shared" si="0"/>
        <v>miércoles</v>
      </c>
      <c r="D30" s="187"/>
      <c r="E30" s="18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2"/>
      <c r="Q30" s="233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44000</v>
      </c>
      <c r="C31" s="106" t="str">
        <f t="shared" si="0"/>
        <v>jueves</v>
      </c>
      <c r="D31" s="187"/>
      <c r="E31" s="18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2"/>
      <c r="Q31" s="233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44001</v>
      </c>
      <c r="C32" s="106" t="str">
        <f t="shared" si="0"/>
        <v>viernes</v>
      </c>
      <c r="D32" s="187"/>
      <c r="E32" s="18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2"/>
      <c r="Q32" s="233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44002</v>
      </c>
      <c r="C33" s="106" t="str">
        <f t="shared" si="0"/>
        <v>sábado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2"/>
      <c r="Q33" s="233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44003</v>
      </c>
      <c r="C34" s="106" t="str">
        <f t="shared" si="0"/>
        <v>domingo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2"/>
      <c r="Q34" s="233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44004</v>
      </c>
      <c r="C35" s="106" t="str">
        <f t="shared" si="0"/>
        <v>lunes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2"/>
      <c r="Q35" s="233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44005</v>
      </c>
      <c r="C36" s="106" t="str">
        <f t="shared" si="0"/>
        <v>martes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2"/>
      <c r="Q36" s="233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44006</v>
      </c>
      <c r="C37" s="106" t="str">
        <f t="shared" si="0"/>
        <v>miércoles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2"/>
      <c r="Q37" s="233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44007</v>
      </c>
      <c r="C38" s="106" t="str">
        <f t="shared" si="0"/>
        <v>jueves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2"/>
      <c r="Q38" s="233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44008</v>
      </c>
      <c r="C39" s="106" t="str">
        <f t="shared" si="0"/>
        <v>viernes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2"/>
      <c r="Q39" s="233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44009</v>
      </c>
      <c r="C40" s="106" t="str">
        <f t="shared" si="0"/>
        <v>sábado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2"/>
      <c r="Q40" s="233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44010</v>
      </c>
      <c r="C41" s="106" t="str">
        <f t="shared" si="0"/>
        <v>domingo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2"/>
      <c r="Q41" s="233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44011</v>
      </c>
      <c r="C42" s="106" t="str">
        <f t="shared" si="0"/>
        <v>lunes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2"/>
      <c r="Q42" s="233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44012</v>
      </c>
      <c r="C43" s="106" t="str">
        <f t="shared" si="0"/>
        <v>martes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2"/>
      <c r="Q43" s="233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44013</v>
      </c>
      <c r="C44" s="114" t="str">
        <f t="shared" si="0"/>
        <v>miércoles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1.5</v>
      </c>
      <c r="I45" s="123">
        <f t="shared" ref="I45:O45" si="2">SUM(I14:I44)</f>
        <v>0.25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42" t="s">
        <v>32</v>
      </c>
      <c r="C48" s="243"/>
      <c r="D48" s="243" t="s">
        <v>33</v>
      </c>
      <c r="E48" s="243"/>
      <c r="F48" s="228" t="s">
        <v>2</v>
      </c>
      <c r="G48" s="228" t="s">
        <v>176</v>
      </c>
      <c r="H48" s="228" t="s">
        <v>3</v>
      </c>
      <c r="I48" s="228" t="s">
        <v>4</v>
      </c>
      <c r="J48" s="228" t="s">
        <v>34</v>
      </c>
      <c r="K48" s="228" t="s">
        <v>35</v>
      </c>
      <c r="L48" s="228" t="s">
        <v>36</v>
      </c>
      <c r="M48" s="228" t="s">
        <v>37</v>
      </c>
      <c r="N48" s="228" t="s">
        <v>38</v>
      </c>
      <c r="O48" s="230" t="s">
        <v>5</v>
      </c>
      <c r="P48" s="244" t="s">
        <v>39</v>
      </c>
      <c r="Q48" s="245"/>
      <c r="R48" s="1"/>
      <c r="S48" s="1"/>
      <c r="T48" s="1"/>
      <c r="U48" s="1"/>
      <c r="V48" s="1"/>
    </row>
    <row r="49" spans="1:22" ht="25.5" customHeight="1" thickBot="1" x14ac:dyDescent="0.3">
      <c r="A49" s="1"/>
      <c r="B49" s="185" t="s">
        <v>40</v>
      </c>
      <c r="C49" s="186" t="s">
        <v>41</v>
      </c>
      <c r="D49" s="11" t="s">
        <v>42</v>
      </c>
      <c r="E49" s="11" t="s">
        <v>43</v>
      </c>
      <c r="F49" s="229"/>
      <c r="G49" s="229"/>
      <c r="H49" s="229"/>
      <c r="I49" s="229"/>
      <c r="J49" s="229"/>
      <c r="K49" s="229"/>
      <c r="L49" s="229"/>
      <c r="M49" s="229"/>
      <c r="N49" s="229"/>
      <c r="O49" s="231"/>
      <c r="P49" s="246"/>
      <c r="Q49" s="247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2"/>
      <c r="Q50" s="22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4"/>
      <c r="Q51" s="22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4"/>
      <c r="Q52" s="22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4"/>
      <c r="Q53" s="22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6"/>
      <c r="Q54" s="22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7" t="s">
        <v>12</v>
      </c>
      <c r="C56" s="198"/>
      <c r="D56" s="198"/>
      <c r="E56" s="198"/>
      <c r="F56" s="198"/>
      <c r="G56" s="199"/>
      <c r="H56" s="80">
        <f>+H45+H50+H51+H52+H53+H54</f>
        <v>1.5</v>
      </c>
      <c r="I56" s="80">
        <f t="shared" ref="I56:O56" si="3">+I45+I50+I51+I52+I53+I54</f>
        <v>0.25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0" t="s">
        <v>46</v>
      </c>
      <c r="C58" s="201"/>
      <c r="D58" s="201"/>
      <c r="E58" s="201"/>
      <c r="F58" s="202"/>
      <c r="H58" s="203" t="s">
        <v>47</v>
      </c>
      <c r="I58" s="204"/>
      <c r="J58" s="204"/>
      <c r="K58" s="204"/>
      <c r="L58" s="204"/>
      <c r="M58" s="204"/>
      <c r="N58" s="204"/>
      <c r="O58" s="204"/>
      <c r="P58" s="204"/>
      <c r="Q58" s="205"/>
      <c r="R58" s="5"/>
      <c r="S58" s="5"/>
      <c r="U58" s="1"/>
      <c r="V58" s="1"/>
    </row>
    <row r="59" spans="1:22" s="13" customFormat="1" ht="22.5" customHeight="1" thickBot="1" x14ac:dyDescent="0.3">
      <c r="B59" s="209" t="s">
        <v>48</v>
      </c>
      <c r="C59" s="210"/>
      <c r="D59" s="186" t="s">
        <v>49</v>
      </c>
      <c r="E59" s="186" t="s">
        <v>50</v>
      </c>
      <c r="F59" s="14" t="s">
        <v>51</v>
      </c>
      <c r="H59" s="206"/>
      <c r="I59" s="207"/>
      <c r="J59" s="207"/>
      <c r="K59" s="207"/>
      <c r="L59" s="207"/>
      <c r="M59" s="207"/>
      <c r="N59" s="207"/>
      <c r="O59" s="207"/>
      <c r="P59" s="207"/>
      <c r="Q59" s="208"/>
    </row>
    <row r="60" spans="1:22" ht="17.25" customHeight="1" x14ac:dyDescent="0.25">
      <c r="A60" s="1"/>
      <c r="B60" s="211" t="str">
        <f>+H12</f>
        <v xml:space="preserve"> EXT. DIURNA 1.25</v>
      </c>
      <c r="C60" s="212"/>
      <c r="D60" s="85">
        <v>1.25</v>
      </c>
      <c r="E60" s="86">
        <f>+$H$56</f>
        <v>1.5</v>
      </c>
      <c r="F60" s="87">
        <f>IF(E60=0,"",D60*E60*(VLOOKUP($E$8,'BD Personal'!$A$6:$R$64,12,FALSE)/240))</f>
        <v>14062.5</v>
      </c>
      <c r="G60" s="1"/>
      <c r="H60" s="213"/>
      <c r="I60" s="214"/>
      <c r="J60" s="214"/>
      <c r="K60" s="214"/>
      <c r="L60" s="214"/>
      <c r="M60" s="214"/>
      <c r="N60" s="214"/>
      <c r="O60" s="214"/>
      <c r="P60" s="214"/>
      <c r="Q60" s="215"/>
      <c r="R60" s="1"/>
      <c r="S60" s="1"/>
      <c r="T60" s="1"/>
      <c r="U60" s="1"/>
      <c r="V60" s="1"/>
    </row>
    <row r="61" spans="1:22" ht="17.25" customHeight="1" x14ac:dyDescent="0.25">
      <c r="A61" s="1"/>
      <c r="B61" s="191" t="str">
        <f>+I12</f>
        <v>EXT. NOC. ORD. 1.75</v>
      </c>
      <c r="C61" s="192"/>
      <c r="D61" s="88">
        <v>1.75</v>
      </c>
      <c r="E61" s="89">
        <f>+$I$56</f>
        <v>0.25</v>
      </c>
      <c r="F61" s="87">
        <f>IF(E61=0,"",D61*E61*(VLOOKUP($E$8,'BD Personal'!$A$6:$R$64,12,FALSE)/240))</f>
        <v>3281.25</v>
      </c>
      <c r="G61" s="1"/>
      <c r="H61" s="216"/>
      <c r="I61" s="217"/>
      <c r="J61" s="217"/>
      <c r="K61" s="217"/>
      <c r="L61" s="217"/>
      <c r="M61" s="217"/>
      <c r="N61" s="217"/>
      <c r="O61" s="217"/>
      <c r="P61" s="217"/>
      <c r="Q61" s="218"/>
      <c r="R61" s="1"/>
      <c r="S61" s="1"/>
      <c r="T61" s="1"/>
      <c r="U61" s="1"/>
      <c r="V61" s="1"/>
    </row>
    <row r="62" spans="1:22" ht="17.25" customHeight="1" x14ac:dyDescent="0.25">
      <c r="A62" s="1"/>
      <c r="B62" s="191" t="str">
        <f>+J12</f>
        <v>EXTRA DOM./FES. DIU.2.00</v>
      </c>
      <c r="C62" s="192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6"/>
      <c r="I62" s="217"/>
      <c r="J62" s="217"/>
      <c r="K62" s="217"/>
      <c r="L62" s="217"/>
      <c r="M62" s="217"/>
      <c r="N62" s="217"/>
      <c r="O62" s="217"/>
      <c r="P62" s="217"/>
      <c r="Q62" s="218"/>
      <c r="R62" s="1"/>
      <c r="S62" s="1"/>
      <c r="T62" s="1"/>
      <c r="U62" s="1"/>
      <c r="V62" s="1"/>
    </row>
    <row r="63" spans="1:22" ht="17.25" customHeight="1" x14ac:dyDescent="0.25">
      <c r="A63" s="1"/>
      <c r="B63" s="191" t="str">
        <f>+K12</f>
        <v>EXTRA DOM./FES.  NOC. 2.50</v>
      </c>
      <c r="C63" s="192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6"/>
      <c r="I63" s="217"/>
      <c r="J63" s="217"/>
      <c r="K63" s="217"/>
      <c r="L63" s="217"/>
      <c r="M63" s="217"/>
      <c r="N63" s="217"/>
      <c r="O63" s="217"/>
      <c r="P63" s="217"/>
      <c r="Q63" s="218"/>
      <c r="R63" s="1"/>
      <c r="S63" s="1"/>
      <c r="T63" s="1"/>
      <c r="U63" s="1"/>
      <c r="V63" s="1"/>
    </row>
    <row r="64" spans="1:22" ht="17.25" customHeight="1" x14ac:dyDescent="0.25">
      <c r="A64" s="1"/>
      <c r="B64" s="191" t="str">
        <f>+L12</f>
        <v>REC. NOCT ORD.              0.35</v>
      </c>
      <c r="C64" s="192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6"/>
      <c r="I64" s="217"/>
      <c r="J64" s="217"/>
      <c r="K64" s="217"/>
      <c r="L64" s="217"/>
      <c r="M64" s="217"/>
      <c r="N64" s="217"/>
      <c r="O64" s="217"/>
      <c r="P64" s="217"/>
      <c r="Q64" s="218"/>
      <c r="R64" s="1"/>
      <c r="S64" s="1"/>
      <c r="T64" s="1"/>
      <c r="U64" s="1"/>
      <c r="V64" s="1"/>
    </row>
    <row r="65" spans="1:22" ht="17.25" customHeight="1" x14ac:dyDescent="0.25">
      <c r="A65" s="1"/>
      <c r="B65" s="191" t="str">
        <f>+M12</f>
        <v xml:space="preserve">REC, DOM / FESTIVA DIU 1.75 </v>
      </c>
      <c r="C65" s="192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6"/>
      <c r="I65" s="217"/>
      <c r="J65" s="217"/>
      <c r="K65" s="217"/>
      <c r="L65" s="217"/>
      <c r="M65" s="217"/>
      <c r="N65" s="217"/>
      <c r="O65" s="217"/>
      <c r="P65" s="217"/>
      <c r="Q65" s="218"/>
      <c r="R65" s="1"/>
      <c r="S65" s="1"/>
      <c r="T65" s="1"/>
      <c r="U65" s="1"/>
      <c r="V65" s="1"/>
    </row>
    <row r="66" spans="1:22" ht="17.25" customHeight="1" x14ac:dyDescent="0.25">
      <c r="A66" s="1"/>
      <c r="B66" s="191" t="str">
        <f>+N12</f>
        <v>REC. DOM. / FES. NOC.  2.10</v>
      </c>
      <c r="C66" s="192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6"/>
      <c r="I66" s="217"/>
      <c r="J66" s="217"/>
      <c r="K66" s="217"/>
      <c r="L66" s="217"/>
      <c r="M66" s="217"/>
      <c r="N66" s="217"/>
      <c r="O66" s="217"/>
      <c r="P66" s="217"/>
      <c r="Q66" s="218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3" t="str">
        <f>+O12</f>
        <v>COMPENSATORIOS</v>
      </c>
      <c r="C67" s="194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6"/>
      <c r="I67" s="217"/>
      <c r="J67" s="217"/>
      <c r="K67" s="217"/>
      <c r="L67" s="217"/>
      <c r="M67" s="217"/>
      <c r="N67" s="217"/>
      <c r="O67" s="217"/>
      <c r="P67" s="217"/>
      <c r="Q67" s="218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6"/>
      <c r="I68" s="217"/>
      <c r="J68" s="217"/>
      <c r="K68" s="217"/>
      <c r="L68" s="217"/>
      <c r="M68" s="217"/>
      <c r="N68" s="217"/>
      <c r="O68" s="217"/>
      <c r="P68" s="217"/>
      <c r="Q68" s="218"/>
      <c r="R68" s="1"/>
      <c r="S68" s="1"/>
      <c r="T68" s="1"/>
      <c r="U68" s="1"/>
      <c r="V68" s="1"/>
    </row>
    <row r="69" spans="1:22" ht="18" customHeight="1" thickBot="1" x14ac:dyDescent="0.3">
      <c r="A69" s="1"/>
      <c r="B69" s="195" t="s">
        <v>53</v>
      </c>
      <c r="C69" s="195"/>
      <c r="D69" s="195"/>
      <c r="E69" s="195"/>
      <c r="F69" s="95">
        <f>SUM(F60:F67)</f>
        <v>17343.75</v>
      </c>
      <c r="G69" s="1"/>
      <c r="H69" s="219"/>
      <c r="I69" s="220"/>
      <c r="J69" s="220"/>
      <c r="K69" s="220"/>
      <c r="L69" s="220"/>
      <c r="M69" s="220"/>
      <c r="N69" s="220"/>
      <c r="O69" s="220"/>
      <c r="P69" s="220"/>
      <c r="Q69" s="221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6"/>
      <c r="D76" s="196"/>
      <c r="E76" s="196"/>
      <c r="F76" s="196"/>
      <c r="G76" s="196"/>
      <c r="H76" s="196"/>
      <c r="I76" s="196"/>
      <c r="L76" s="196"/>
      <c r="M76" s="196"/>
      <c r="N76" s="196"/>
      <c r="O76" s="196"/>
      <c r="P76" s="196"/>
    </row>
    <row r="77" spans="1:22" ht="30.75" customHeight="1" thickTop="1" x14ac:dyDescent="0.25">
      <c r="C77" s="190" t="s">
        <v>54</v>
      </c>
      <c r="D77" s="190"/>
      <c r="E77" s="190"/>
      <c r="F77" s="190"/>
      <c r="G77" s="190"/>
      <c r="H77" s="190"/>
      <c r="I77" s="190"/>
      <c r="J77" s="16"/>
      <c r="K77" s="16"/>
      <c r="L77" s="190" t="s">
        <v>55</v>
      </c>
      <c r="M77" s="190"/>
      <c r="N77" s="190"/>
      <c r="O77" s="190"/>
      <c r="P77" s="190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9E99771-D3AB-4253-AC5D-007DD07C303E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AD046313-1C13-45D2-95F8-3EE2F677AC44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perez</vt:lpstr>
      <vt:lpstr>perez!Área_de_impresión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2020-06-16T22:12:15Z</dcterms:modified>
</cp:coreProperties>
</file>