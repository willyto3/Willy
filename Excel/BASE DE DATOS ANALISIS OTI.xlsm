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chartsheets/sheet29.xml" ContentType="application/vnd.openxmlformats-officedocument.spreadsheetml.chartsheet+xml"/>
  <Override PartName="/xl/chartsheets/sheet30.xml" ContentType="application/vnd.openxmlformats-officedocument.spreadsheetml.chartsheet+xml"/>
  <Override PartName="/xl/chartsheets/sheet31.xml" ContentType="application/vnd.openxmlformats-officedocument.spreadsheetml.chartsheet+xml"/>
  <Override PartName="/xl/chartsheets/sheet32.xml" ContentType="application/vnd.openxmlformats-officedocument.spreadsheetml.chartsheet+xml"/>
  <Override PartName="/xl/chartsheets/sheet33.xml" ContentType="application/vnd.openxmlformats-officedocument.spreadsheetml.chartsheet+xml"/>
  <Override PartName="/xl/chartsheets/sheet34.xml" ContentType="application/vnd.openxmlformats-officedocument.spreadsheetml.chartsheet+xml"/>
  <Override PartName="/xl/chartsheets/sheet35.xml" ContentType="application/vnd.openxmlformats-officedocument.spreadsheetml.chartsheet+xml"/>
  <Override PartName="/xl/chartsheets/sheet36.xml" ContentType="application/vnd.openxmlformats-officedocument.spreadsheetml.chartsheet+xml"/>
  <Override PartName="/xl/chartsheets/sheet37.xml" ContentType="application/vnd.openxmlformats-officedocument.spreadsheetml.chartsheet+xml"/>
  <Override PartName="/xl/chartsheets/sheet38.xml" ContentType="application/vnd.openxmlformats-officedocument.spreadsheetml.chartsheet+xml"/>
  <Override PartName="/xl/chartsheets/sheet39.xml" ContentType="application/vnd.openxmlformats-officedocument.spreadsheetml.chartsheet+xml"/>
  <Override PartName="/xl/chartsheets/sheet40.xml" ContentType="application/vnd.openxmlformats-officedocument.spreadsheetml.chartsheet+xml"/>
  <Override PartName="/xl/chartsheets/sheet41.xml" ContentType="application/vnd.openxmlformats-officedocument.spreadsheetml.chartsheet+xml"/>
  <Override PartName="/xl/chartsheets/sheet42.xml" ContentType="application/vnd.openxmlformats-officedocument.spreadsheetml.chartsheet+xml"/>
  <Override PartName="/xl/chartsheets/sheet43.xml" ContentType="application/vnd.openxmlformats-officedocument.spreadsheetml.chartsheet+xml"/>
  <Override PartName="/xl/chartsheets/sheet44.xml" ContentType="application/vnd.openxmlformats-officedocument.spreadsheetml.chartsheet+xml"/>
  <Override PartName="/xl/chartsheets/sheet45.xml" ContentType="application/vnd.openxmlformats-officedocument.spreadsheetml.chartsheet+xml"/>
  <Override PartName="/xl/chartsheets/sheet46.xml" ContentType="application/vnd.openxmlformats-officedocument.spreadsheetml.chartsheet+xml"/>
  <Override PartName="/xl/chartsheets/sheet47.xml" ContentType="application/vnd.openxmlformats-officedocument.spreadsheetml.chartsheet+xml"/>
  <Override PartName="/xl/chartsheets/sheet48.xml" ContentType="application/vnd.openxmlformats-officedocument.spreadsheetml.chartsheet+xml"/>
  <Override PartName="/xl/chartsheets/sheet49.xml" ContentType="application/vnd.openxmlformats-officedocument.spreadsheetml.chartsheet+xml"/>
  <Override PartName="/xl/chartsheets/sheet50.xml" ContentType="application/vnd.openxmlformats-officedocument.spreadsheetml.chartsheet+xml"/>
  <Override PartName="/xl/chartsheets/sheet51.xml" ContentType="application/vnd.openxmlformats-officedocument.spreadsheetml.chartsheet+xml"/>
  <Override PartName="/xl/chartsheets/sheet52.xml" ContentType="application/vnd.openxmlformats-officedocument.spreadsheetml.chartsheet+xml"/>
  <Override PartName="/xl/chartsheets/sheet53.xml" ContentType="application/vnd.openxmlformats-officedocument.spreadsheetml.chartsheet+xml"/>
  <Override PartName="/xl/chartsheets/sheet54.xml" ContentType="application/vnd.openxmlformats-officedocument.spreadsheetml.chartsheet+xml"/>
  <Override PartName="/xl/chartsheets/sheet55.xml" ContentType="application/vnd.openxmlformats-officedocument.spreadsheetml.chartsheet+xml"/>
  <Override PartName="/xl/chartsheets/sheet56.xml" ContentType="application/vnd.openxmlformats-officedocument.spreadsheetml.chartsheet+xml"/>
  <Override PartName="/xl/chartsheets/sheet57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0.xml" ContentType="application/vnd.openxmlformats-officedocument.drawing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3.xml" ContentType="application/vnd.openxmlformats-officedocument.drawing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4.xml" ContentType="application/vnd.openxmlformats-officedocument.drawing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5.xml" ContentType="application/vnd.openxmlformats-officedocument.drawing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7.xml" ContentType="application/vnd.openxmlformats-officedocument.drawing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8.xml" ContentType="application/vnd.openxmlformats-officedocument.drawing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0.xml" ContentType="application/vnd.openxmlformats-officedocument.drawing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1.xml" ContentType="application/vnd.openxmlformats-officedocument.drawing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2.xml" ContentType="application/vnd.openxmlformats-officedocument.drawing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3.xml" ContentType="application/vnd.openxmlformats-officedocument.drawing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4.xml" ContentType="application/vnd.openxmlformats-officedocument.drawing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5.xml" ContentType="application/vnd.openxmlformats-officedocument.drawing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6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7.xml" ContentType="application/vnd.openxmlformats-officedocument.drawing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8.xml" ContentType="application/vnd.openxmlformats-officedocument.drawing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9.xml" ContentType="application/vnd.openxmlformats-officedocument.drawing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0.xml" ContentType="application/vnd.openxmlformats-officedocument.drawing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1.xml" ContentType="application/vnd.openxmlformats-officedocument.drawing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"/>
    </mc:Choice>
  </mc:AlternateContent>
  <xr:revisionPtr revIDLastSave="0" documentId="13_ncr:1_{69C3254F-F5C1-497B-8A00-19B0C89B8267}" xr6:coauthVersionLast="41" xr6:coauthVersionMax="41" xr10:uidLastSave="{00000000-0000-0000-0000-000000000000}"/>
  <bookViews>
    <workbookView xWindow="20370" yWindow="-3765" windowWidth="29040" windowHeight="15840" tabRatio="784" xr2:uid="{00000000-000D-0000-FFFF-FFFF00000000}"/>
  </bookViews>
  <sheets>
    <sheet name="Titulo" sheetId="3" r:id="rId1"/>
    <sheet name="Base de Datos" sheetId="2" r:id="rId2"/>
    <sheet name="ANALITO" sheetId="1" r:id="rId3"/>
    <sheet name="OTI-LAB-FO-05 TK" sheetId="5" r:id="rId4"/>
    <sheet name="Busqueda" sheetId="4" r:id="rId5"/>
    <sheet name="Gráfico10" sheetId="18" state="hidden" r:id="rId6"/>
    <sheet name="Gráfico9" sheetId="17" state="hidden" r:id="rId7"/>
    <sheet name="Gráfico8" sheetId="16" state="hidden" r:id="rId8"/>
    <sheet name="Gráfico7" sheetId="15" state="hidden" r:id="rId9"/>
    <sheet name="Gráfico6" sheetId="14" state="hidden" r:id="rId10"/>
    <sheet name="Gráfico5" sheetId="13" state="hidden" r:id="rId11"/>
    <sheet name="Gráfico4" sheetId="12" state="hidden" r:id="rId12"/>
    <sheet name="Gráfico3" sheetId="11" state="hidden" r:id="rId13"/>
    <sheet name="Gráfico2" sheetId="10" state="hidden" r:id="rId14"/>
    <sheet name="Gráfico1" sheetId="9" state="hidden" r:id="rId15"/>
    <sheet name="Gráfico57" sheetId="65" state="hidden" r:id="rId16"/>
    <sheet name="Gráfico56" sheetId="64" state="hidden" r:id="rId17"/>
    <sheet name="Gráfico55" sheetId="63" state="hidden" r:id="rId18"/>
    <sheet name="Gráfico54" sheetId="62" state="hidden" r:id="rId19"/>
    <sheet name="Gráfico53" sheetId="61" state="hidden" r:id="rId20"/>
    <sheet name="Gráfico52" sheetId="60" state="hidden" r:id="rId21"/>
    <sheet name="Gráfico51" sheetId="59" state="hidden" r:id="rId22"/>
    <sheet name="Gráfico50" sheetId="58" state="hidden" r:id="rId23"/>
    <sheet name="Gráfico49" sheetId="57" state="hidden" r:id="rId24"/>
    <sheet name="Gráfico48" sheetId="56" state="hidden" r:id="rId25"/>
    <sheet name="Gráfico47" sheetId="55" state="hidden" r:id="rId26"/>
    <sheet name="Gráfico46" sheetId="54" state="hidden" r:id="rId27"/>
    <sheet name="Gráfico45" sheetId="53" state="hidden" r:id="rId28"/>
    <sheet name="Gráfico44" sheetId="52" state="hidden" r:id="rId29"/>
    <sheet name="Gráfico43" sheetId="51" state="hidden" r:id="rId30"/>
    <sheet name="Gráfico42" sheetId="50" state="hidden" r:id="rId31"/>
    <sheet name="Gráfico41" sheetId="49" state="hidden" r:id="rId32"/>
    <sheet name="Gráfico40" sheetId="48" state="hidden" r:id="rId33"/>
    <sheet name="Gráfico39" sheetId="47" state="hidden" r:id="rId34"/>
    <sheet name="Gráfico38" sheetId="46" state="hidden" r:id="rId35"/>
    <sheet name="Gráfico37" sheetId="45" state="hidden" r:id="rId36"/>
    <sheet name="Gráfico36" sheetId="44" state="hidden" r:id="rId37"/>
    <sheet name="Gráfico35" sheetId="43" state="hidden" r:id="rId38"/>
    <sheet name="Gráfico34" sheetId="42" state="hidden" r:id="rId39"/>
    <sheet name="Gráfico33" sheetId="41" state="hidden" r:id="rId40"/>
    <sheet name="Gráfico32" sheetId="40" state="hidden" r:id="rId41"/>
    <sheet name="Gráfico31" sheetId="39" state="hidden" r:id="rId42"/>
    <sheet name="Gráfico30" sheetId="38" state="hidden" r:id="rId43"/>
    <sheet name="Gráfico29" sheetId="37" state="hidden" r:id="rId44"/>
    <sheet name="Gráfico28" sheetId="36" state="hidden" r:id="rId45"/>
    <sheet name="Gráfico27" sheetId="35" state="hidden" r:id="rId46"/>
    <sheet name="Gráfico26" sheetId="34" state="hidden" r:id="rId47"/>
    <sheet name="Gráfico25" sheetId="33" state="hidden" r:id="rId48"/>
    <sheet name="Gráfico24" sheetId="32" state="hidden" r:id="rId49"/>
    <sheet name="Gráfico23" sheetId="31" state="hidden" r:id="rId50"/>
    <sheet name="Gráfico22" sheetId="30" state="hidden" r:id="rId51"/>
    <sheet name="Gráfico21" sheetId="29" state="hidden" r:id="rId52"/>
    <sheet name="Gráfico20" sheetId="28" state="hidden" r:id="rId53"/>
    <sheet name="Gráfico19" sheetId="27" state="hidden" r:id="rId54"/>
    <sheet name="Gráfico18" sheetId="26" state="hidden" r:id="rId55"/>
    <sheet name="Gráfico17" sheetId="25" state="hidden" r:id="rId56"/>
    <sheet name="Gráfico16" sheetId="24" state="hidden" r:id="rId57"/>
    <sheet name="Gráfico15" sheetId="23" state="hidden" r:id="rId58"/>
    <sheet name="Gráfico14" sheetId="22" state="hidden" r:id="rId59"/>
    <sheet name="Gráfico13" sheetId="21" state="hidden" r:id="rId60"/>
    <sheet name="Gráfico12" sheetId="20" state="hidden" r:id="rId61"/>
    <sheet name="Gráfico11" sheetId="19" state="hidden" r:id="rId62"/>
    <sheet name="CARROTANQUE" sheetId="6" r:id="rId63"/>
    <sheet name="Base de Datos ctk" sheetId="8" r:id="rId64"/>
    <sheet name="OTI-LAB-FO-05 CTK" sheetId="7" r:id="rId65"/>
  </sheets>
  <functionGroups builtInGroupCount="19"/>
  <definedNames>
    <definedName name="_xlnm.Print_Area" localSheetId="64">'OTI-LAB-FO-05 CTK'!$A$1:$L$51</definedName>
    <definedName name="_xlnm.Print_Area" localSheetId="3">'OTI-LAB-FO-05 TK'!$A$1:$L$51</definedName>
    <definedName name="COD">Busqueda!$D$7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D47" i="7" l="1"/>
  <c r="H28" i="7"/>
  <c r="D21" i="7"/>
  <c r="D20" i="7"/>
  <c r="I18" i="7"/>
  <c r="D17" i="7"/>
  <c r="N22" i="6"/>
  <c r="R15" i="6"/>
  <c r="R16" i="6" s="1"/>
  <c r="R14" i="6"/>
  <c r="R17" i="6" s="1"/>
  <c r="K14" i="6"/>
  <c r="F9" i="6"/>
  <c r="W2" i="6" s="1"/>
  <c r="B7" i="6"/>
  <c r="I11" i="7" s="1"/>
  <c r="AP2" i="6"/>
  <c r="AO2" i="6"/>
  <c r="AN2" i="6"/>
  <c r="AM2" i="6"/>
  <c r="AG2" i="6"/>
  <c r="AF2" i="6"/>
  <c r="AE2" i="6"/>
  <c r="AD2" i="6"/>
  <c r="AA2" i="6"/>
  <c r="Z2" i="6"/>
  <c r="Y2" i="6"/>
  <c r="X2" i="6"/>
  <c r="V2" i="6"/>
  <c r="U2" i="6"/>
  <c r="T2" i="6"/>
  <c r="S2" i="6"/>
  <c r="Q2" i="6"/>
  <c r="A16" i="4"/>
  <c r="G15" i="4"/>
  <c r="H14" i="4"/>
  <c r="D14" i="4"/>
  <c r="B14" i="4"/>
  <c r="I13" i="4"/>
  <c r="F13" i="4"/>
  <c r="D13" i="4"/>
  <c r="B13" i="4"/>
  <c r="H12" i="4"/>
  <c r="D11" i="4"/>
  <c r="H10" i="4"/>
  <c r="F10" i="4"/>
  <c r="D10" i="4"/>
  <c r="B10" i="4"/>
  <c r="I9" i="4"/>
  <c r="F9" i="4"/>
  <c r="G8" i="4"/>
  <c r="D8" i="4"/>
  <c r="B8" i="4"/>
  <c r="G7" i="4"/>
  <c r="B7" i="4"/>
  <c r="H3" i="4"/>
  <c r="D47" i="5"/>
  <c r="H28" i="5"/>
  <c r="E28" i="5"/>
  <c r="B28" i="5"/>
  <c r="D20" i="5"/>
  <c r="S19" i="5"/>
  <c r="S18" i="5"/>
  <c r="D17" i="5"/>
  <c r="R15" i="1"/>
  <c r="R16" i="1" s="1"/>
  <c r="R14" i="1"/>
  <c r="R17" i="1" s="1"/>
  <c r="I11" i="5"/>
  <c r="AP2" i="1"/>
  <c r="AO2" i="1"/>
  <c r="AN2" i="1"/>
  <c r="AM2" i="1"/>
  <c r="AG2" i="1"/>
  <c r="AF2" i="1"/>
  <c r="AE2" i="1"/>
  <c r="AD2" i="1"/>
  <c r="AA2" i="1"/>
  <c r="Z2" i="1"/>
  <c r="Y2" i="1"/>
  <c r="X2" i="1"/>
  <c r="W2" i="1"/>
  <c r="V2" i="1"/>
  <c r="U2" i="1"/>
  <c r="T2" i="1"/>
  <c r="S2" i="1"/>
  <c r="Q2" i="1"/>
  <c r="D40" i="3"/>
  <c r="M38" i="3"/>
  <c r="G38" i="3"/>
  <c r="D38" i="3"/>
  <c r="H38" i="3" s="1"/>
  <c r="M37" i="3"/>
  <c r="G37" i="3"/>
  <c r="D37" i="3"/>
  <c r="H37" i="3" s="1"/>
  <c r="M36" i="3"/>
  <c r="I36" i="3"/>
  <c r="J36" i="3" s="1"/>
  <c r="H36" i="3"/>
  <c r="G36" i="3"/>
  <c r="D36" i="3"/>
  <c r="M35" i="3"/>
  <c r="H35" i="3"/>
  <c r="G35" i="3"/>
  <c r="I35" i="3" s="1"/>
  <c r="J35" i="3" s="1"/>
  <c r="D35" i="3"/>
  <c r="M34" i="3"/>
  <c r="G34" i="3"/>
  <c r="D34" i="3"/>
  <c r="H34" i="3" s="1"/>
  <c r="M33" i="3"/>
  <c r="G33" i="3"/>
  <c r="D33" i="3"/>
  <c r="H33" i="3" s="1"/>
  <c r="I33" i="3" s="1"/>
  <c r="J33" i="3" s="1"/>
  <c r="M32" i="3"/>
  <c r="G32" i="3"/>
  <c r="D32" i="3"/>
  <c r="M31" i="3"/>
  <c r="G31" i="3"/>
  <c r="D31" i="3"/>
  <c r="M30" i="3"/>
  <c r="G30" i="3"/>
  <c r="D30" i="3"/>
  <c r="H30" i="3" s="1"/>
  <c r="I30" i="3" s="1"/>
  <c r="J30" i="3" s="1"/>
  <c r="M29" i="3"/>
  <c r="H29" i="3"/>
  <c r="G29" i="3"/>
  <c r="I29" i="3" s="1"/>
  <c r="J29" i="3" s="1"/>
  <c r="D29" i="3"/>
  <c r="M28" i="3"/>
  <c r="G28" i="3"/>
  <c r="D28" i="3"/>
  <c r="H28" i="3" s="1"/>
  <c r="M27" i="3"/>
  <c r="G27" i="3"/>
  <c r="D27" i="3"/>
  <c r="H27" i="3" s="1"/>
  <c r="I27" i="3" s="1"/>
  <c r="J27" i="3" s="1"/>
  <c r="M26" i="3"/>
  <c r="I26" i="3"/>
  <c r="J26" i="3" s="1"/>
  <c r="H26" i="3"/>
  <c r="G26" i="3"/>
  <c r="D26" i="3"/>
  <c r="M25" i="3"/>
  <c r="H25" i="3"/>
  <c r="G25" i="3"/>
  <c r="I25" i="3" s="1"/>
  <c r="J25" i="3" s="1"/>
  <c r="D25" i="3"/>
  <c r="M24" i="3"/>
  <c r="G24" i="3"/>
  <c r="D24" i="3"/>
  <c r="H24" i="3" s="1"/>
  <c r="M23" i="3"/>
  <c r="G23" i="3"/>
  <c r="D23" i="3"/>
  <c r="H23" i="3" s="1"/>
  <c r="I23" i="3" s="1"/>
  <c r="J23" i="3" s="1"/>
  <c r="M22" i="3"/>
  <c r="I22" i="3"/>
  <c r="J22" i="3" s="1"/>
  <c r="H22" i="3"/>
  <c r="G22" i="3"/>
  <c r="D22" i="3"/>
  <c r="M21" i="3"/>
  <c r="H21" i="3"/>
  <c r="G21" i="3"/>
  <c r="I21" i="3" s="1"/>
  <c r="J21" i="3" s="1"/>
  <c r="D21" i="3"/>
  <c r="M20" i="3"/>
  <c r="G20" i="3"/>
  <c r="D20" i="3"/>
  <c r="H20" i="3" s="1"/>
  <c r="M19" i="3"/>
  <c r="G19" i="3"/>
  <c r="D19" i="3"/>
  <c r="H19" i="3" s="1"/>
  <c r="I19" i="3" s="1"/>
  <c r="J19" i="3" s="1"/>
  <c r="M18" i="3"/>
  <c r="I18" i="3"/>
  <c r="J18" i="3" s="1"/>
  <c r="H18" i="3"/>
  <c r="G18" i="3"/>
  <c r="D18" i="3"/>
  <c r="M17" i="3"/>
  <c r="H17" i="3"/>
  <c r="G17" i="3"/>
  <c r="I17" i="3" s="1"/>
  <c r="J17" i="3" s="1"/>
  <c r="D17" i="3"/>
  <c r="M16" i="3"/>
  <c r="G16" i="3"/>
  <c r="D16" i="3"/>
  <c r="H16" i="3" s="1"/>
  <c r="M15" i="3"/>
  <c r="G15" i="3"/>
  <c r="D15" i="3"/>
  <c r="H15" i="3" s="1"/>
  <c r="I15" i="3" s="1"/>
  <c r="J15" i="3" s="1"/>
  <c r="M14" i="3"/>
  <c r="I14" i="3"/>
  <c r="J14" i="3" s="1"/>
  <c r="H14" i="3"/>
  <c r="G14" i="3"/>
  <c r="D14" i="3"/>
  <c r="M13" i="3"/>
  <c r="H13" i="3"/>
  <c r="G13" i="3"/>
  <c r="I13" i="3" s="1"/>
  <c r="J13" i="3" s="1"/>
  <c r="D13" i="3"/>
  <c r="M12" i="3"/>
  <c r="G12" i="3"/>
  <c r="D12" i="3"/>
  <c r="H12" i="3" s="1"/>
  <c r="M11" i="3"/>
  <c r="G11" i="3"/>
  <c r="D11" i="3"/>
  <c r="H11" i="3" s="1"/>
  <c r="I11" i="3" s="1"/>
  <c r="J11" i="3" s="1"/>
  <c r="M10" i="3"/>
  <c r="I10" i="3"/>
  <c r="J10" i="3" s="1"/>
  <c r="H10" i="3"/>
  <c r="G10" i="3"/>
  <c r="D10" i="3"/>
  <c r="M9" i="3"/>
  <c r="H9" i="3"/>
  <c r="G9" i="3"/>
  <c r="I9" i="3" s="1"/>
  <c r="J9" i="3" s="1"/>
  <c r="D9" i="3"/>
  <c r="M8" i="3"/>
  <c r="G8" i="3"/>
  <c r="D8" i="3"/>
  <c r="H8" i="3" s="1"/>
  <c r="M7" i="3"/>
  <c r="G7" i="3"/>
  <c r="D7" i="3"/>
  <c r="H7" i="3" s="1"/>
  <c r="I7" i="3" s="1"/>
  <c r="J7" i="3" s="1"/>
  <c r="A7" i="3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M6" i="3"/>
  <c r="I6" i="3"/>
  <c r="J6" i="3" s="1"/>
  <c r="H6" i="3"/>
  <c r="G6" i="3"/>
  <c r="D6" i="3"/>
  <c r="R3" i="3"/>
  <c r="I20" i="3" l="1"/>
  <c r="J20" i="3" s="1"/>
  <c r="I38" i="3"/>
  <c r="J38" i="3" s="1"/>
  <c r="I16" i="3"/>
  <c r="J16" i="3" s="1"/>
  <c r="I34" i="3"/>
  <c r="J34" i="3" s="1"/>
  <c r="I37" i="3"/>
  <c r="J37" i="3" s="1"/>
  <c r="I12" i="3"/>
  <c r="J12" i="3" s="1"/>
  <c r="I28" i="3"/>
  <c r="J28" i="3" s="1"/>
  <c r="I8" i="3"/>
  <c r="J8" i="3" s="1"/>
  <c r="I24" i="3"/>
  <c r="J24" i="3" s="1"/>
  <c r="D21" i="4"/>
  <c r="H13" i="4"/>
  <c r="H32" i="3"/>
  <c r="I32" i="3" s="1"/>
  <c r="J32" i="3" s="1"/>
  <c r="H31" i="3"/>
  <c r="I31" i="3" s="1"/>
  <c r="J31" i="3" s="1"/>
  <c r="R18" i="1"/>
  <c r="R19" i="1" s="1"/>
  <c r="R20" i="1" s="1"/>
  <c r="R18" i="6"/>
  <c r="R19" i="6" s="1"/>
  <c r="R20" i="6" s="1"/>
  <c r="I21" i="7"/>
  <c r="I19" i="7"/>
  <c r="I9" i="7"/>
  <c r="I20" i="7"/>
  <c r="I21" i="5"/>
  <c r="I19" i="5"/>
  <c r="I9" i="5"/>
  <c r="I20" i="5"/>
  <c r="R2" i="1"/>
  <c r="R2" i="6"/>
  <c r="F10" i="6"/>
  <c r="F10" i="1"/>
  <c r="F13" i="6" l="1"/>
  <c r="H13" i="6" s="1"/>
  <c r="AJ2" i="6" s="1"/>
  <c r="F13" i="1"/>
  <c r="I27" i="5"/>
  <c r="AB2" i="1"/>
  <c r="H10" i="1"/>
  <c r="AC2" i="1" s="1"/>
  <c r="R21" i="1"/>
  <c r="I27" i="7"/>
  <c r="H10" i="6"/>
  <c r="AC2" i="6" s="1"/>
  <c r="AB2" i="6"/>
  <c r="R21" i="6"/>
  <c r="H12" i="1" l="1"/>
  <c r="AI2" i="1" s="1"/>
  <c r="H13" i="1"/>
  <c r="AJ2" i="1" s="1"/>
  <c r="H12" i="6"/>
  <c r="N10" i="6" s="1"/>
  <c r="N11" i="6" s="1"/>
  <c r="N12" i="6" s="1"/>
  <c r="AH2" i="6"/>
  <c r="AH2" i="1"/>
  <c r="H14" i="1" l="1"/>
  <c r="I28" i="5" s="1"/>
  <c r="K28" i="5" s="1"/>
  <c r="AR13" i="1"/>
  <c r="N10" i="1"/>
  <c r="N11" i="1" s="1"/>
  <c r="N12" i="1" s="1"/>
  <c r="H14" i="6"/>
  <c r="AK2" i="6" s="1"/>
  <c r="O7" i="6"/>
  <c r="N16" i="6"/>
  <c r="N17" i="6" s="1"/>
  <c r="N18" i="6" s="1"/>
  <c r="N19" i="6" s="1"/>
  <c r="N20" i="6" s="1"/>
  <c r="N21" i="6" s="1"/>
  <c r="AI2" i="6"/>
  <c r="AK2" i="1" l="1"/>
  <c r="I13" i="1"/>
  <c r="AL2" i="1" s="1"/>
  <c r="K13" i="1"/>
  <c r="K15" i="6"/>
  <c r="I13" i="6"/>
  <c r="AL2" i="6" s="1"/>
  <c r="I28" i="7" l="1"/>
  <c r="K28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Mario Alberto Jimenez Marrugo (OTI)</author>
  </authors>
  <commentList>
    <comment ref="G9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fecha seguido del origen de la muestra (TK-650) o placa del carrotanque (SXV-086)</t>
        </r>
      </text>
    </comment>
    <comment ref="B1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3004527(No. De contrato9</t>
        </r>
      </text>
    </comment>
    <comment ref="B41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"LOS ANÁLISIS DE SAL, VISCOSIDAD, AZUFRE Y SEDIMENTOS SON REPORTADOS MENSUALMENTE", EL ANTERIOR COMENTARIO SIEMPRE DEBE IR PARA ANALISIS DE TANQUES, ADICIONAL A ESTE CUALQUIER OTRO COMENTARIO SOBRE LOS RESULTADOS.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Mario Alberto Jimenez Marrugo (OTI)</author>
  </authors>
  <commentList>
    <comment ref="G9" authorId="0" shapeId="0" xr:uid="{00000000-0006-0000-4000-000001000000}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fecha seguido del origen de la muestra (TK-650) o placa del carrotanque (SXV-086)</t>
        </r>
      </text>
    </comment>
    <comment ref="B10" authorId="0" shapeId="0" xr:uid="{00000000-0006-0000-4000-000002000000}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3004527(No. De contrato9</t>
        </r>
      </text>
    </comment>
    <comment ref="B41" authorId="0" shapeId="0" xr:uid="{00000000-0006-0000-4000-000003000000}">
      <text>
        <r>
          <rPr>
            <b/>
            <sz val="9"/>
            <color indexed="81"/>
            <rFont val="Tahoma"/>
            <family val="2"/>
          </rPr>
          <t>Mario Alberto Jimenez Marrugo (OTI):</t>
        </r>
        <r>
          <rPr>
            <sz val="9"/>
            <color indexed="81"/>
            <rFont val="Tahoma"/>
            <family val="2"/>
          </rPr>
          <t xml:space="preserve">
"LOS ANÁLISIS DE SAL, VISCOSIDAD, AZUFRE Y SEDIMENTOS SON REPORTADOS MENSUALMENTE", EL ANTERIOR COMENTARIO SIEMPRE DEBE IR PARA ANALISIS DE TANQUES, ADICIONAL A ESTE CUALQUIER OTRO COMENTARIO SOBRE LOS RESULTADOS.</t>
        </r>
      </text>
    </comment>
  </commentList>
</comments>
</file>

<file path=xl/sharedStrings.xml><?xml version="1.0" encoding="utf-8"?>
<sst xmlns="http://schemas.openxmlformats.org/spreadsheetml/2006/main" count="563" uniqueCount="239">
  <si>
    <t>PROGRAMA ANALITO</t>
  </si>
  <si>
    <t>COD MUESTRA</t>
  </si>
  <si>
    <t>FECHA</t>
  </si>
  <si>
    <t>DESCRIPCION</t>
  </si>
  <si>
    <t>TEMPERATURA LAB</t>
  </si>
  <si>
    <t>H RELATIVA</t>
  </si>
  <si>
    <t>SEDIMENTO</t>
  </si>
  <si>
    <t>SERIAL HIDROMETRO</t>
  </si>
  <si>
    <t>SERIAL TERMOMETRO</t>
  </si>
  <si>
    <t>API OBSERVADO</t>
  </si>
  <si>
    <t>TEMP INICIAL</t>
  </si>
  <si>
    <t>TEMP FINAL</t>
  </si>
  <si>
    <t>API 60</t>
  </si>
  <si>
    <t>DENSIDAD RELATIVA</t>
  </si>
  <si>
    <t>PESO MUESTRA 1</t>
  </si>
  <si>
    <t>PESO MUESTRA 2</t>
  </si>
  <si>
    <t>TITULANTE 1</t>
  </si>
  <si>
    <t>TITULANTE 2</t>
  </si>
  <si>
    <t>FACTOR KF</t>
  </si>
  <si>
    <t>% PESO 1</t>
  </si>
  <si>
    <t>% PESO 2</t>
  </si>
  <si>
    <t>% VOLUMEN</t>
  </si>
  <si>
    <t>BSW</t>
  </si>
  <si>
    <t>OBSERVACIONES</t>
  </si>
  <si>
    <t>ANALISTA</t>
  </si>
  <si>
    <t>ELABORADO</t>
  </si>
  <si>
    <t>Estación</t>
  </si>
  <si>
    <t xml:space="preserve">Lugar </t>
  </si>
  <si>
    <t>PUERTO GAITAN</t>
  </si>
  <si>
    <t>----------------------------------------------------------------------------------------------------------------------------</t>
  </si>
  <si>
    <t>Fecha</t>
  </si>
  <si>
    <t>Cod. Muestra</t>
  </si>
  <si>
    <t>Descripción</t>
  </si>
  <si>
    <t>Temp Lab F</t>
  </si>
  <si>
    <t>% H Relativa</t>
  </si>
  <si>
    <t>Sedimento</t>
  </si>
  <si>
    <t>API Norma</t>
  </si>
  <si>
    <t>ASTM- D1298</t>
  </si>
  <si>
    <t>Serial Hidrometro</t>
  </si>
  <si>
    <t>Serial Termometro</t>
  </si>
  <si>
    <t>API</t>
  </si>
  <si>
    <t>Temp.</t>
  </si>
  <si>
    <t>Densidad</t>
  </si>
  <si>
    <t>Observado</t>
  </si>
  <si>
    <t>Muestra F</t>
  </si>
  <si>
    <t>60 F</t>
  </si>
  <si>
    <t>Relativa</t>
  </si>
  <si>
    <t>KARL FISCHER Norma</t>
  </si>
  <si>
    <t>ASTM D4377</t>
  </si>
  <si>
    <t>Serial KF</t>
  </si>
  <si>
    <t>% H20</t>
  </si>
  <si>
    <t xml:space="preserve">Peso </t>
  </si>
  <si>
    <t>Titulante</t>
  </si>
  <si>
    <t>Factor</t>
  </si>
  <si>
    <t>Peso</t>
  </si>
  <si>
    <t>Muestra g</t>
  </si>
  <si>
    <t>utilizado ml</t>
  </si>
  <si>
    <r>
      <rPr>
        <sz val="11"/>
        <color theme="1"/>
        <rFont val="Calibri"/>
        <family val="2"/>
        <scheme val="minor"/>
      </rPr>
      <t>KF</t>
    </r>
    <r>
      <rPr>
        <sz val="9"/>
        <color theme="1"/>
        <rFont val="Calibri"/>
        <family val="2"/>
        <scheme val="minor"/>
      </rPr>
      <t xml:space="preserve"> </t>
    </r>
    <r>
      <rPr>
        <sz val="7"/>
        <color theme="1"/>
        <rFont val="Calibri"/>
        <family val="2"/>
        <scheme val="minor"/>
      </rPr>
      <t>mg/ml</t>
    </r>
  </si>
  <si>
    <t>% H20 V.</t>
  </si>
  <si>
    <t>Observaciones</t>
  </si>
  <si>
    <t>Analista</t>
  </si>
  <si>
    <t>W1 [mg]</t>
  </si>
  <si>
    <t>T1 [ml]</t>
  </si>
  <si>
    <t>F1</t>
  </si>
  <si>
    <t>W2  [mg]</t>
  </si>
  <si>
    <t>T2, [ml]</t>
  </si>
  <si>
    <t>F2</t>
  </si>
  <si>
    <t>F</t>
  </si>
  <si>
    <t>% Error relativo</t>
  </si>
  <si>
    <t>CUMPLE</t>
  </si>
  <si>
    <t>Temp. Ambiente</t>
  </si>
  <si>
    <t>Humedad Relativa</t>
  </si>
  <si>
    <t>DEW POINT °F</t>
  </si>
  <si>
    <t>INSPECTOR</t>
  </si>
  <si>
    <t>BUSQUEDA</t>
  </si>
  <si>
    <t>INGRESO</t>
  </si>
  <si>
    <t>ESTANDARIZACIÓN KARL FISCHER (LAB CPF-2)
Mettler Toledo V 20</t>
  </si>
  <si>
    <t>CORRECCIÓN POR EXPANSIÓN TÉRMICA DEL HIDRÓMETRO DE VIDRIO</t>
  </si>
  <si>
    <t>ÍTEM</t>
  </si>
  <si>
    <t>VALORES</t>
  </si>
  <si>
    <t>Temperatura Observada</t>
  </si>
  <si>
    <t>Lectura Observada Hidrómetro</t>
  </si>
  <si>
    <t>Step 1</t>
  </si>
  <si>
    <t>Step 2</t>
  </si>
  <si>
    <t>Step 3</t>
  </si>
  <si>
    <t>Step 4a</t>
  </si>
  <si>
    <t>API OBSERVADO REDONDEADO</t>
  </si>
  <si>
    <t>ESTACION</t>
  </si>
  <si>
    <t>TABLA UTILIZADA</t>
  </si>
  <si>
    <t>CPF1</t>
  </si>
  <si>
    <t>B348041096</t>
  </si>
  <si>
    <t>REPORTE DE ANÁLISIS HIDROCARBUROS Y COMBUSTIBLES</t>
  </si>
  <si>
    <t>INFORMACIÓN GENERAL</t>
  </si>
  <si>
    <t>CLIENTE:</t>
  </si>
  <si>
    <t>ECOPETROL</t>
  </si>
  <si>
    <t>CÓDIGO DEL REPORTE:</t>
  </si>
  <si>
    <t>REFERENCIA DE CLIENTE:</t>
  </si>
  <si>
    <t>ORDEN DE TRABAJO:</t>
  </si>
  <si>
    <t>N/A</t>
  </si>
  <si>
    <t>CIUDAD:</t>
  </si>
  <si>
    <t>FECHA DE REPORTE:</t>
  </si>
  <si>
    <t>PAIS:</t>
  </si>
  <si>
    <t>COLOMBIA</t>
  </si>
  <si>
    <t>LAB. QUE ANALIZA:</t>
  </si>
  <si>
    <t>CRUDOS CPF1</t>
  </si>
  <si>
    <t>INFORMACIÓN DE MUESTREO</t>
  </si>
  <si>
    <t>ID DE LA MUESTRA:</t>
  </si>
  <si>
    <t>TIPO DE MUESTREO:</t>
  </si>
  <si>
    <t>TODO NIVEL</t>
  </si>
  <si>
    <t>SITIO DE MUESTREO:</t>
  </si>
  <si>
    <t>TANQUE DE TIERRA</t>
  </si>
  <si>
    <t>MUESTREADO POR:</t>
  </si>
  <si>
    <t>CLIENTE</t>
  </si>
  <si>
    <t>TIPO DE MUESTRA:</t>
  </si>
  <si>
    <t>COMPUESTA</t>
  </si>
  <si>
    <t>FECHA DE MUESTREO:</t>
  </si>
  <si>
    <t>ORIGEN DE LA MUESTRA:</t>
  </si>
  <si>
    <t>FECHA DE RECEPCIÓN:</t>
  </si>
  <si>
    <t>PRODUCTO:</t>
  </si>
  <si>
    <t>CRUDO</t>
  </si>
  <si>
    <t>FECHA DE ANÁLISIS:</t>
  </si>
  <si>
    <t>RESULTADOS DE ANÁLISIS</t>
  </si>
  <si>
    <t>Prueba</t>
  </si>
  <si>
    <t>Método</t>
  </si>
  <si>
    <t>Unidades</t>
  </si>
  <si>
    <t>Mínimo</t>
  </si>
  <si>
    <t>Máximo</t>
  </si>
  <si>
    <t>Resultados</t>
  </si>
  <si>
    <t>N/C</t>
  </si>
  <si>
    <t>GRAVEDAD API</t>
  </si>
  <si>
    <t>ASTM-D-1298</t>
  </si>
  <si>
    <t>°API</t>
  </si>
  <si>
    <t>Conforme</t>
  </si>
  <si>
    <t>AGUA POR KARL FISCHER</t>
  </si>
  <si>
    <t>ASTM-D-4377</t>
  </si>
  <si>
    <t>%VOLUMEN</t>
  </si>
  <si>
    <t>SEDIMENTOS</t>
  </si>
  <si>
    <t>ASTM-473</t>
  </si>
  <si>
    <t>SAL</t>
  </si>
  <si>
    <t>ASTM-D-3230</t>
  </si>
  <si>
    <t>PTB</t>
  </si>
  <si>
    <t>VISCOSIDAD @ 30°C</t>
  </si>
  <si>
    <t>ASTM-445</t>
  </si>
  <si>
    <t>Cst</t>
  </si>
  <si>
    <t>AZUFRE</t>
  </si>
  <si>
    <t>%PESO</t>
  </si>
  <si>
    <t>OBSERVACIONES DE RESULTADOS:</t>
  </si>
  <si>
    <t>CONDICIONES DE LA MUESTRA RECIBIDA:</t>
  </si>
  <si>
    <t>OK</t>
  </si>
  <si>
    <t>No. SELLO:</t>
  </si>
  <si>
    <t>CUMPLIMIENTO DE REQUISITOS:</t>
  </si>
  <si>
    <t>La muestra cumple con los requisitos mínimos para los análisis solicitados</t>
  </si>
  <si>
    <t>COMPUESTA VOLUMETRICA BUQUE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</si>
  <si>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</si>
  <si>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,</t>
  </si>
  <si>
    <t>REPORTADO POR:</t>
  </si>
  <si>
    <t>APROBADO POR:</t>
  </si>
  <si>
    <t>Mario A. Jimenez M.</t>
  </si>
  <si>
    <t>CARGO:</t>
  </si>
  <si>
    <t>INSPECTOR DE HIDROCARBUROS</t>
  </si>
  <si>
    <t>COORDINADOR</t>
  </si>
  <si>
    <t>“La información contenida en este documento es basada en los análisis de laboratorio y las observaciones realizados por el personal de OIL TEST INTERNACIONAL. La(s) muestra(s) que fue(ron) tomada(s), identificada(s) y suministrada(s) por el Cliente únicamente para realizar los análisis, OIL TEST INTERNACIONAL no se hace responsable de los resultados obtenidoos ni de los daños o perjuicios causados por ello.  El presente reportes no constiuye una garantía o representación de OIL TEST INTERNACIONAL con respecto a la exactitud de esa misma información suministrada, por ejemplo:  origen de la muestra, producto o descripción del mismo, tipo de muestreo o a su aptitud de uso para algún propósito específico”
“Este informe es para el uso exclusivo del cliente y sólo se puede reproducir en su totalidad con el permiso por escrito de OIL TEST INTERNACIONAL, a menos que se indique lo contrario.”</t>
  </si>
  <si>
    <t>Muestra tomada</t>
  </si>
  <si>
    <t>COMPUESTA VOLUMETRICA DE BARCAZA</t>
  </si>
  <si>
    <t>COMPUESTA VOLUMETRICA TANQUES DE TIERRA</t>
  </si>
  <si>
    <t>AUTOSAMPLER</t>
  </si>
  <si>
    <t>Tipo de muestreo</t>
  </si>
  <si>
    <t>SUPERIOR</t>
  </si>
  <si>
    <t>MEDIA</t>
  </si>
  <si>
    <t>FONDO</t>
  </si>
  <si>
    <t>CORRIDA</t>
  </si>
  <si>
    <t>INICIAL</t>
  </si>
  <si>
    <t xml:space="preserve">INTERMEDIA </t>
  </si>
  <si>
    <t>GOTEO CONTINUO</t>
  </si>
  <si>
    <t>FINAL</t>
  </si>
  <si>
    <t>Sitio de muestreo</t>
  </si>
  <si>
    <t>NO REGISTRA</t>
  </si>
  <si>
    <t>TK</t>
  </si>
  <si>
    <t>LINEA</t>
  </si>
  <si>
    <t>TANQUE DE BUQUE</t>
  </si>
  <si>
    <t>TANQUE DE BARCAZA</t>
  </si>
  <si>
    <t>CARROTANQUE</t>
  </si>
  <si>
    <t>TAMBORES</t>
  </si>
  <si>
    <t>ISOTANQUE</t>
  </si>
  <si>
    <t>FLEXITANQUE</t>
  </si>
  <si>
    <t>Placa</t>
  </si>
  <si>
    <t>NA</t>
  </si>
  <si>
    <t>FUEL OIL</t>
  </si>
  <si>
    <t>Willy Corzo</t>
  </si>
  <si>
    <t>Daniel Bastidas</t>
  </si>
  <si>
    <t>Jose Gil</t>
  </si>
  <si>
    <t>DESTILADO</t>
  </si>
  <si>
    <t>ACPM</t>
  </si>
  <si>
    <t>GASOLINA</t>
  </si>
  <si>
    <t>PROGRAMA ANALITO CARROTANQUES</t>
  </si>
  <si>
    <t>Promedio</t>
  </si>
  <si>
    <t>Repetibilidad</t>
  </si>
  <si>
    <t>CRUDO MITO</t>
  </si>
  <si>
    <t>D</t>
  </si>
  <si>
    <t>FUEL-ACPM</t>
  </si>
  <si>
    <t>MITO</t>
  </si>
  <si>
    <t>OTI</t>
  </si>
  <si>
    <t>HIDROM</t>
  </si>
  <si>
    <t>MUESTREO</t>
  </si>
  <si>
    <t>MAXIMO</t>
  </si>
  <si>
    <t>TABLA</t>
  </si>
  <si>
    <t>5A</t>
  </si>
  <si>
    <t>5B</t>
  </si>
  <si>
    <t>TK 502</t>
  </si>
  <si>
    <t>ASTM-D-4294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</si>
  <si>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B  </t>
  </si>
  <si>
    <t>BSW REALIZADO POR METODO DE CENTRIFUGA (ASTM D-4007)</t>
  </si>
  <si>
    <t>Diego Herrera</t>
  </si>
  <si>
    <t>bsw</t>
  </si>
  <si>
    <t>vol</t>
  </si>
  <si>
    <t xml:space="preserve">Observacion </t>
  </si>
  <si>
    <t xml:space="preserve">            </t>
  </si>
  <si>
    <t>Campo</t>
  </si>
  <si>
    <t xml:space="preserve">Emisión 2017 - 09 - 19 </t>
  </si>
  <si>
    <t>Rev. 00</t>
  </si>
  <si>
    <t>FLOTI - 150CO</t>
  </si>
  <si>
    <t>SUBPRODUCTOS</t>
  </si>
  <si>
    <t>VERSIÓN 0,71</t>
  </si>
  <si>
    <t xml:space="preserve">DATO POR </t>
  </si>
  <si>
    <t>CENTRIFUGA</t>
  </si>
  <si>
    <t>Yilmar Espeleta Morales</t>
  </si>
  <si>
    <t>Carmelo Bejarano</t>
  </si>
  <si>
    <t xml:space="preserve">  </t>
  </si>
  <si>
    <t>PROGRAMA ANALITO TANQUES</t>
  </si>
  <si>
    <t>Temp</t>
  </si>
  <si>
    <t>JGO</t>
  </si>
  <si>
    <t>DAH</t>
  </si>
  <si>
    <t>HR</t>
  </si>
  <si>
    <t>Carlos Monroy</t>
  </si>
  <si>
    <t>Felix Serrano</t>
  </si>
  <si>
    <t>CMT</t>
  </si>
  <si>
    <t>FSS</t>
  </si>
  <si>
    <t>JUNIO</t>
  </si>
  <si>
    <t>4J0643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</si>
</sst>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\C\P\F\2\ \-\ #"/>
    <numFmt numFmtId="165" formatCode="0.000"/>
    <numFmt numFmtId="166" formatCode="0.0"/>
    <numFmt numFmtId="167" formatCode="0.0000"/>
    <numFmt numFmtId="168" formatCode="\C\P\F\1\ \-\ #"/>
    <numFmt numFmtId="169" formatCode="0.000%"/>
    <numFmt numFmtId="170" formatCode="0.000000"/>
    <numFmt numFmtId="171" formatCode="0.00000000"/>
    <numFmt numFmtId="172" formatCode="0.0000000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name val="Arial"/>
      <family val="2"/>
    </font>
    <font>
      <b/>
      <i/>
      <sz val="10"/>
      <color indexed="8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color indexed="8"/>
      <name val="Arial"/>
      <family val="2"/>
    </font>
    <font>
      <sz val="8"/>
      <color rgb="FF000000"/>
      <name val="Segoe UI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1"/>
      <color indexed="8"/>
      <name val="Arial"/>
      <family val="2"/>
    </font>
    <font>
      <b/>
      <sz val="8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indexed="64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indexed="64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401">
    <xf numFmtId="0" fontId="0" fillId="0" borderId="0" xfId="0"/>
    <xf numFmtId="0" fontId="1" fillId="0" borderId="0" xfId="0" applyFont="1" applyBorder="1" applyAlignment="1">
      <alignment vertical="center"/>
    </xf>
    <xf numFmtId="14" fontId="0" fillId="0" borderId="8" xfId="0" applyNumberFormat="1" applyBorder="1" applyAlignment="1">
      <alignment horizontal="center"/>
    </xf>
    <xf numFmtId="0" fontId="2" fillId="0" borderId="4" xfId="0" applyFont="1" applyBorder="1" applyAlignment="1">
      <alignment vertical="center"/>
    </xf>
    <xf numFmtId="14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horizontal="center"/>
    </xf>
    <xf numFmtId="0" fontId="0" fillId="0" borderId="5" xfId="0" applyBorder="1"/>
    <xf numFmtId="0" fontId="2" fillId="0" borderId="6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13" xfId="0" applyBorder="1" applyAlignment="1"/>
    <xf numFmtId="0" fontId="0" fillId="0" borderId="15" xfId="0" applyBorder="1" applyAlignment="1"/>
    <xf numFmtId="0" fontId="0" fillId="0" borderId="0" xfId="0" applyBorder="1" applyAlignment="1"/>
    <xf numFmtId="0" fontId="0" fillId="0" borderId="16" xfId="0" applyBorder="1" applyAlignment="1"/>
    <xf numFmtId="0" fontId="0" fillId="0" borderId="17" xfId="0" applyBorder="1" applyAlignment="1"/>
    <xf numFmtId="165" fontId="0" fillId="0" borderId="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15" xfId="0" applyBorder="1"/>
    <xf numFmtId="0" fontId="3" fillId="0" borderId="17" xfId="0" applyFont="1" applyBorder="1"/>
    <xf numFmtId="0" fontId="2" fillId="0" borderId="0" xfId="0" applyFont="1" applyBorder="1" applyAlignment="1">
      <alignment vertical="center"/>
    </xf>
    <xf numFmtId="0" fontId="2" fillId="0" borderId="0" xfId="0" applyFont="1" applyBorder="1" applyAlignment="1"/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0" fontId="3" fillId="0" borderId="0" xfId="0" applyFont="1" applyBorder="1"/>
    <xf numFmtId="0" fontId="0" fillId="0" borderId="0" xfId="0" quotePrefix="1" applyBorder="1" applyAlignment="1">
      <alignment horizontal="center"/>
    </xf>
    <xf numFmtId="14" fontId="0" fillId="0" borderId="0" xfId="0" applyNumberFormat="1"/>
    <xf numFmtId="0" fontId="5" fillId="3" borderId="0" xfId="0" applyFont="1" applyFill="1" applyBorder="1" applyProtection="1"/>
    <xf numFmtId="0" fontId="5" fillId="0" borderId="0" xfId="0" applyFont="1" applyFill="1" applyBorder="1" applyProtection="1"/>
    <xf numFmtId="0" fontId="7" fillId="4" borderId="30" xfId="0" applyFont="1" applyFill="1" applyBorder="1" applyAlignment="1" applyProtection="1">
      <alignment horizontal="center" vertical="center" wrapText="1"/>
      <protection locked="0"/>
    </xf>
    <xf numFmtId="0" fontId="7" fillId="0" borderId="30" xfId="0" applyFont="1" applyFill="1" applyBorder="1" applyAlignment="1" applyProtection="1">
      <alignment horizontal="center" vertical="center" wrapText="1"/>
    </xf>
    <xf numFmtId="0" fontId="7" fillId="0" borderId="31" xfId="0" applyFont="1" applyFill="1" applyBorder="1" applyAlignment="1" applyProtection="1">
      <alignment horizontal="center" vertical="center" wrapText="1"/>
    </xf>
    <xf numFmtId="0" fontId="8" fillId="3" borderId="0" xfId="0" applyFont="1" applyFill="1" applyBorder="1" applyProtection="1"/>
    <xf numFmtId="14" fontId="5" fillId="0" borderId="1" xfId="0" applyNumberFormat="1" applyFont="1" applyFill="1" applyBorder="1" applyAlignment="1" applyProtection="1">
      <alignment horizontal="center"/>
      <protection locked="0"/>
    </xf>
    <xf numFmtId="166" fontId="5" fillId="5" borderId="5" xfId="1" applyNumberFormat="1" applyFont="1" applyFill="1" applyBorder="1" applyAlignment="1" applyProtection="1">
      <alignment horizontal="center" vertical="center"/>
      <protection locked="0"/>
    </xf>
    <xf numFmtId="165" fontId="5" fillId="5" borderId="5" xfId="1" applyNumberFormat="1" applyFont="1" applyFill="1" applyBorder="1" applyAlignment="1" applyProtection="1">
      <alignment horizontal="center" vertical="center"/>
      <protection locked="0"/>
    </xf>
    <xf numFmtId="167" fontId="5" fillId="0" borderId="2" xfId="1" applyNumberFormat="1" applyFont="1" applyFill="1" applyBorder="1" applyAlignment="1" applyProtection="1">
      <alignment horizontal="center" vertical="center"/>
    </xf>
    <xf numFmtId="167" fontId="5" fillId="0" borderId="32" xfId="1" applyNumberFormat="1" applyFont="1" applyFill="1" applyBorder="1" applyAlignment="1" applyProtection="1">
      <alignment horizontal="center" vertical="center"/>
    </xf>
    <xf numFmtId="167" fontId="5" fillId="6" borderId="32" xfId="1" applyNumberFormat="1" applyFont="1" applyFill="1" applyBorder="1" applyAlignment="1" applyProtection="1">
      <alignment horizontal="center" vertical="center"/>
    </xf>
    <xf numFmtId="2" fontId="5" fillId="0" borderId="32" xfId="1" applyNumberFormat="1" applyFont="1" applyFill="1" applyBorder="1" applyAlignment="1" applyProtection="1">
      <alignment horizontal="center" vertical="center"/>
    </xf>
    <xf numFmtId="0" fontId="5" fillId="0" borderId="32" xfId="1" applyFont="1" applyFill="1" applyBorder="1" applyAlignment="1" applyProtection="1">
      <alignment horizontal="center"/>
    </xf>
    <xf numFmtId="166" fontId="5" fillId="5" borderId="33" xfId="1" applyNumberFormat="1" applyFont="1" applyFill="1" applyBorder="1" applyAlignment="1" applyProtection="1">
      <alignment horizontal="center"/>
      <protection locked="0"/>
    </xf>
    <xf numFmtId="1" fontId="5" fillId="5" borderId="15" xfId="1" applyNumberFormat="1" applyFont="1" applyFill="1" applyBorder="1" applyAlignment="1" applyProtection="1">
      <alignment horizontal="center" vertical="center"/>
      <protection locked="0"/>
    </xf>
    <xf numFmtId="166" fontId="5" fillId="0" borderId="34" xfId="1" applyNumberFormat="1" applyFont="1" applyFill="1" applyBorder="1" applyAlignment="1" applyProtection="1">
      <alignment horizontal="center" vertical="center"/>
    </xf>
    <xf numFmtId="0" fontId="9" fillId="0" borderId="35" xfId="0" applyFont="1" applyFill="1" applyBorder="1" applyAlignment="1" applyProtection="1">
      <alignment horizontal="center" vertical="center"/>
      <protection locked="0"/>
    </xf>
    <xf numFmtId="14" fontId="5" fillId="0" borderId="4" xfId="0" applyNumberFormat="1" applyFont="1" applyFill="1" applyBorder="1" applyAlignment="1" applyProtection="1">
      <alignment horizontal="center"/>
      <protection locked="0"/>
    </xf>
    <xf numFmtId="167" fontId="5" fillId="0" borderId="5" xfId="1" applyNumberFormat="1" applyFont="1" applyFill="1" applyBorder="1" applyAlignment="1" applyProtection="1">
      <alignment horizontal="center" vertical="center"/>
    </xf>
    <xf numFmtId="167" fontId="5" fillId="6" borderId="5" xfId="1" applyNumberFormat="1" applyFont="1" applyFill="1" applyBorder="1" applyAlignment="1" applyProtection="1">
      <alignment horizontal="center" vertical="center"/>
    </xf>
    <xf numFmtId="2" fontId="5" fillId="0" borderId="14" xfId="1" applyNumberFormat="1" applyFont="1" applyFill="1" applyBorder="1" applyAlignment="1" applyProtection="1">
      <alignment horizontal="center" vertical="center"/>
    </xf>
    <xf numFmtId="0" fontId="5" fillId="0" borderId="5" xfId="1" applyFont="1" applyFill="1" applyBorder="1" applyAlignment="1" applyProtection="1">
      <alignment horizontal="center"/>
    </xf>
    <xf numFmtId="166" fontId="5" fillId="5" borderId="18" xfId="1" applyNumberFormat="1" applyFont="1" applyFill="1" applyBorder="1" applyAlignment="1" applyProtection="1">
      <alignment horizontal="center"/>
      <protection locked="0"/>
    </xf>
    <xf numFmtId="1" fontId="5" fillId="5" borderId="5" xfId="1" applyNumberFormat="1" applyFont="1" applyFill="1" applyBorder="1" applyAlignment="1" applyProtection="1">
      <alignment horizontal="center" vertical="center"/>
      <protection locked="0"/>
    </xf>
    <xf numFmtId="166" fontId="5" fillId="0" borderId="5" xfId="1" applyNumberFormat="1" applyFont="1" applyFill="1" applyBorder="1" applyAlignment="1" applyProtection="1">
      <alignment horizontal="center" vertical="center"/>
    </xf>
    <xf numFmtId="0" fontId="9" fillId="0" borderId="6" xfId="0" applyFont="1" applyFill="1" applyBorder="1" applyAlignment="1" applyProtection="1">
      <alignment horizontal="center" vertical="center"/>
      <protection locked="0"/>
    </xf>
    <xf numFmtId="2" fontId="5" fillId="3" borderId="14" xfId="1" applyNumberFormat="1" applyFont="1" applyFill="1" applyBorder="1" applyAlignment="1" applyProtection="1">
      <alignment horizontal="center" vertical="center"/>
    </xf>
    <xf numFmtId="166" fontId="9" fillId="5" borderId="15" xfId="0" applyNumberFormat="1" applyFont="1" applyFill="1" applyBorder="1" applyAlignment="1" applyProtection="1">
      <alignment horizontal="center" vertical="center"/>
      <protection locked="0"/>
    </xf>
    <xf numFmtId="165" fontId="9" fillId="5" borderId="15" xfId="0" applyNumberFormat="1" applyFont="1" applyFill="1" applyBorder="1" applyAlignment="1" applyProtection="1">
      <alignment horizontal="center" vertical="center"/>
      <protection locked="0"/>
    </xf>
    <xf numFmtId="166" fontId="5" fillId="0" borderId="15" xfId="1" applyNumberFormat="1" applyFont="1" applyFill="1" applyBorder="1" applyAlignment="1" applyProtection="1">
      <alignment horizontal="center" vertical="center"/>
    </xf>
    <xf numFmtId="166" fontId="5" fillId="5" borderId="8" xfId="1" applyNumberFormat="1" applyFont="1" applyFill="1" applyBorder="1" applyAlignment="1" applyProtection="1">
      <alignment horizontal="center" vertical="center"/>
      <protection locked="0"/>
    </xf>
    <xf numFmtId="165" fontId="5" fillId="5" borderId="8" xfId="1" applyNumberFormat="1" applyFont="1" applyFill="1" applyBorder="1" applyAlignment="1" applyProtection="1">
      <alignment horizontal="center" vertical="center"/>
      <protection locked="0"/>
    </xf>
    <xf numFmtId="167" fontId="5" fillId="0" borderId="8" xfId="1" applyNumberFormat="1" applyFont="1" applyFill="1" applyBorder="1" applyAlignment="1" applyProtection="1">
      <alignment horizontal="center" vertical="center"/>
    </xf>
    <xf numFmtId="166" fontId="9" fillId="5" borderId="8" xfId="0" applyNumberFormat="1" applyFont="1" applyFill="1" applyBorder="1" applyAlignment="1" applyProtection="1">
      <alignment horizontal="center" vertical="center"/>
      <protection locked="0"/>
    </xf>
    <xf numFmtId="165" fontId="9" fillId="5" borderId="8" xfId="0" applyNumberFormat="1" applyFont="1" applyFill="1" applyBorder="1" applyAlignment="1" applyProtection="1">
      <alignment horizontal="center" vertical="center"/>
      <protection locked="0"/>
    </xf>
    <xf numFmtId="167" fontId="5" fillId="6" borderId="8" xfId="1" applyNumberFormat="1" applyFont="1" applyFill="1" applyBorder="1" applyAlignment="1" applyProtection="1">
      <alignment horizontal="center" vertical="center"/>
    </xf>
    <xf numFmtId="2" fontId="5" fillId="0" borderId="36" xfId="1" applyNumberFormat="1" applyFont="1" applyFill="1" applyBorder="1" applyAlignment="1" applyProtection="1">
      <alignment horizontal="center" vertical="center"/>
    </xf>
    <xf numFmtId="0" fontId="5" fillId="0" borderId="8" xfId="1" applyFont="1" applyFill="1" applyBorder="1" applyAlignment="1" applyProtection="1">
      <alignment horizontal="center"/>
    </xf>
    <xf numFmtId="166" fontId="5" fillId="5" borderId="8" xfId="1" applyNumberFormat="1" applyFont="1" applyFill="1" applyBorder="1" applyAlignment="1" applyProtection="1">
      <alignment horizontal="center"/>
      <protection locked="0"/>
    </xf>
    <xf numFmtId="1" fontId="5" fillId="5" borderId="8" xfId="1" applyNumberFormat="1" applyFont="1" applyFill="1" applyBorder="1" applyAlignment="1" applyProtection="1">
      <alignment horizontal="center" vertical="center"/>
      <protection locked="0"/>
    </xf>
    <xf numFmtId="166" fontId="5" fillId="0" borderId="8" xfId="1" applyNumberFormat="1" applyFont="1" applyFill="1" applyBorder="1" applyAlignment="1" applyProtection="1">
      <alignment horizontal="center" vertical="center"/>
    </xf>
    <xf numFmtId="0" fontId="9" fillId="0" borderId="37" xfId="0" applyFont="1" applyFill="1" applyBorder="1" applyAlignment="1" applyProtection="1">
      <alignment horizontal="center" vertical="center"/>
      <protection locked="0"/>
    </xf>
    <xf numFmtId="166" fontId="5" fillId="3" borderId="0" xfId="0" applyNumberFormat="1" applyFont="1" applyFill="1" applyBorder="1" applyProtection="1"/>
    <xf numFmtId="2" fontId="5" fillId="3" borderId="0" xfId="0" applyNumberFormat="1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7" fontId="0" fillId="0" borderId="14" xfId="0" applyNumberForma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164" fontId="2" fillId="7" borderId="5" xfId="0" applyNumberFormat="1" applyFont="1" applyFill="1" applyBorder="1" applyAlignment="1">
      <alignment horizontal="center" vertical="center"/>
    </xf>
    <xf numFmtId="166" fontId="0" fillId="0" borderId="0" xfId="0" applyNumberFormat="1"/>
    <xf numFmtId="165" fontId="0" fillId="0" borderId="0" xfId="0" applyNumberFormat="1"/>
    <xf numFmtId="0" fontId="0" fillId="0" borderId="22" xfId="0" applyBorder="1"/>
    <xf numFmtId="0" fontId="0" fillId="0" borderId="24" xfId="0" applyBorder="1"/>
    <xf numFmtId="0" fontId="0" fillId="0" borderId="23" xfId="0" applyBorder="1"/>
    <xf numFmtId="0" fontId="0" fillId="0" borderId="40" xfId="0" applyBorder="1"/>
    <xf numFmtId="0" fontId="0" fillId="0" borderId="25" xfId="0" applyBorder="1"/>
    <xf numFmtId="0" fontId="0" fillId="0" borderId="26" xfId="0" applyBorder="1"/>
    <xf numFmtId="0" fontId="12" fillId="0" borderId="0" xfId="0" applyFont="1" applyBorder="1"/>
    <xf numFmtId="0" fontId="13" fillId="0" borderId="22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0" borderId="29" xfId="0" applyFont="1" applyBorder="1"/>
    <xf numFmtId="0" fontId="12" fillId="0" borderId="28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 applyProtection="1">
      <alignment vertical="center" wrapText="1"/>
    </xf>
    <xf numFmtId="0" fontId="14" fillId="0" borderId="0" xfId="0" applyFont="1" applyBorder="1" applyAlignment="1" applyProtection="1">
      <alignment vertical="center"/>
    </xf>
    <xf numFmtId="0" fontId="14" fillId="0" borderId="25" xfId="0" applyFont="1" applyBorder="1" applyAlignment="1" applyProtection="1">
      <alignment vertical="center"/>
    </xf>
    <xf numFmtId="0" fontId="16" fillId="9" borderId="31" xfId="0" applyFont="1" applyFill="1" applyBorder="1" applyAlignment="1" applyProtection="1">
      <alignment horizontal="center" vertical="center" wrapText="1" readingOrder="1"/>
      <protection hidden="1"/>
    </xf>
    <xf numFmtId="0" fontId="16" fillId="0" borderId="31" xfId="0" applyFont="1" applyBorder="1" applyAlignment="1" applyProtection="1">
      <alignment horizontal="center" vertical="center" wrapText="1" readingOrder="1"/>
      <protection hidden="1"/>
    </xf>
    <xf numFmtId="0" fontId="16" fillId="10" borderId="31" xfId="0" applyFont="1" applyFill="1" applyBorder="1" applyAlignment="1" applyProtection="1">
      <alignment horizontal="center" vertical="center" wrapText="1" readingOrder="1"/>
      <protection hidden="1"/>
    </xf>
    <xf numFmtId="0" fontId="17" fillId="0" borderId="45" xfId="0" applyFont="1" applyBorder="1" applyAlignment="1" applyProtection="1">
      <alignment horizontal="center" vertical="center" wrapText="1" readingOrder="1"/>
      <protection hidden="1"/>
    </xf>
    <xf numFmtId="0" fontId="15" fillId="9" borderId="48" xfId="0" applyFont="1" applyFill="1" applyBorder="1" applyAlignment="1" applyProtection="1">
      <alignment horizontal="center" vertical="center" wrapText="1"/>
      <protection locked="0"/>
    </xf>
    <xf numFmtId="0" fontId="15" fillId="0" borderId="48" xfId="0" applyFont="1" applyBorder="1" applyAlignment="1" applyProtection="1">
      <alignment horizontal="center" vertical="center"/>
      <protection locked="0"/>
    </xf>
    <xf numFmtId="0" fontId="15" fillId="9" borderId="48" xfId="0" applyFont="1" applyFill="1" applyBorder="1" applyAlignment="1" applyProtection="1">
      <alignment horizontal="center"/>
      <protection locked="0"/>
    </xf>
    <xf numFmtId="0" fontId="16" fillId="0" borderId="52" xfId="0" applyFont="1" applyFill="1" applyBorder="1" applyAlignment="1" applyProtection="1">
      <alignment horizontal="center" vertical="center" wrapText="1" readingOrder="1"/>
      <protection locked="0"/>
    </xf>
    <xf numFmtId="0" fontId="15" fillId="0" borderId="25" xfId="0" applyFont="1" applyFill="1" applyBorder="1" applyAlignment="1" applyProtection="1">
      <alignment horizontal="center" vertical="center" wrapText="1"/>
    </xf>
    <xf numFmtId="0" fontId="15" fillId="9" borderId="46" xfId="0" applyFont="1" applyFill="1" applyBorder="1" applyAlignment="1" applyProtection="1">
      <alignment horizontal="center" vertical="center" wrapText="1"/>
      <protection locked="0"/>
    </xf>
    <xf numFmtId="0" fontId="15" fillId="0" borderId="46" xfId="0" applyFont="1" applyBorder="1" applyAlignment="1" applyProtection="1">
      <alignment horizontal="center" vertical="center"/>
      <protection locked="0"/>
    </xf>
    <xf numFmtId="0" fontId="16" fillId="9" borderId="46" xfId="0" applyFont="1" applyFill="1" applyBorder="1" applyAlignment="1" applyProtection="1">
      <alignment horizontal="center" vertical="center" readingOrder="1"/>
      <protection locked="0"/>
    </xf>
    <xf numFmtId="165" fontId="15" fillId="0" borderId="46" xfId="0" applyNumberFormat="1" applyFont="1" applyBorder="1" applyAlignment="1" applyProtection="1">
      <alignment horizontal="center" vertical="center"/>
      <protection locked="0"/>
    </xf>
    <xf numFmtId="0" fontId="16" fillId="0" borderId="49" xfId="0" applyFont="1" applyFill="1" applyBorder="1" applyAlignment="1" applyProtection="1">
      <alignment horizontal="center" vertical="center" wrapText="1" readingOrder="1"/>
      <protection locked="0"/>
    </xf>
    <xf numFmtId="1" fontId="15" fillId="0" borderId="48" xfId="0" applyNumberFormat="1" applyFont="1" applyBorder="1" applyAlignment="1" applyProtection="1">
      <alignment horizontal="center" vertical="center"/>
      <protection locked="0"/>
    </xf>
    <xf numFmtId="165" fontId="15" fillId="0" borderId="48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Border="1" applyAlignment="1" applyProtection="1">
      <alignment vertical="center" readingOrder="1"/>
    </xf>
    <xf numFmtId="0" fontId="18" fillId="0" borderId="0" xfId="0" applyFont="1" applyBorder="1" applyAlignment="1" applyProtection="1">
      <alignment horizontal="left" vertical="center" wrapText="1" readingOrder="1"/>
    </xf>
    <xf numFmtId="49" fontId="15" fillId="0" borderId="46" xfId="0" applyNumberFormat="1" applyFont="1" applyBorder="1" applyAlignment="1" applyProtection="1">
      <alignment horizontal="center" vertical="center"/>
      <protection locked="0"/>
    </xf>
    <xf numFmtId="0" fontId="15" fillId="9" borderId="46" xfId="0" applyFont="1" applyFill="1" applyBorder="1" applyAlignment="1" applyProtection="1">
      <alignment horizontal="center"/>
      <protection locked="0"/>
    </xf>
    <xf numFmtId="0" fontId="16" fillId="9" borderId="46" xfId="0" applyFont="1" applyFill="1" applyBorder="1" applyAlignment="1" applyProtection="1">
      <alignment horizontal="center" vertical="center" wrapText="1" readingOrder="1"/>
      <protection locked="0"/>
    </xf>
    <xf numFmtId="0" fontId="15" fillId="10" borderId="27" xfId="0" applyFont="1" applyFill="1" applyBorder="1" applyAlignment="1" applyProtection="1">
      <alignment horizontal="left" vertical="center" wrapText="1"/>
      <protection locked="0"/>
    </xf>
    <xf numFmtId="0" fontId="15" fillId="10" borderId="29" xfId="0" applyFont="1" applyFill="1" applyBorder="1" applyAlignment="1" applyProtection="1">
      <alignment horizontal="left" vertical="center" wrapText="1"/>
      <protection locked="0"/>
    </xf>
    <xf numFmtId="0" fontId="15" fillId="9" borderId="29" xfId="0" applyFont="1" applyFill="1" applyBorder="1" applyAlignment="1" applyProtection="1">
      <alignment horizontal="center" vertical="center" wrapText="1"/>
      <protection locked="0"/>
    </xf>
    <xf numFmtId="49" fontId="15" fillId="0" borderId="29" xfId="0" applyNumberFormat="1" applyFont="1" applyBorder="1" applyAlignment="1" applyProtection="1">
      <alignment horizontal="center" vertical="center"/>
      <protection locked="0"/>
    </xf>
    <xf numFmtId="0" fontId="15" fillId="9" borderId="29" xfId="0" applyFont="1" applyFill="1" applyBorder="1" applyAlignment="1" applyProtection="1">
      <alignment horizontal="center"/>
      <protection locked="0"/>
    </xf>
    <xf numFmtId="0" fontId="15" fillId="0" borderId="29" xfId="0" applyFont="1" applyBorder="1" applyAlignment="1" applyProtection="1">
      <alignment horizontal="center" vertical="center"/>
      <protection locked="0"/>
    </xf>
    <xf numFmtId="0" fontId="16" fillId="9" borderId="29" xfId="0" applyFont="1" applyFill="1" applyBorder="1" applyAlignment="1" applyProtection="1">
      <alignment horizontal="center" vertical="center" wrapText="1" readingOrder="1"/>
      <protection locked="0"/>
    </xf>
    <xf numFmtId="0" fontId="15" fillId="9" borderId="43" xfId="0" applyFont="1" applyFill="1" applyBorder="1" applyAlignment="1">
      <alignment horizontal="center" vertical="center" wrapText="1"/>
    </xf>
    <xf numFmtId="0" fontId="14" fillId="0" borderId="5" xfId="0" applyFont="1" applyBorder="1" applyAlignment="1" applyProtection="1">
      <alignment vertical="center"/>
    </xf>
    <xf numFmtId="0" fontId="0" fillId="0" borderId="27" xfId="0" applyBorder="1"/>
    <xf numFmtId="0" fontId="0" fillId="0" borderId="28" xfId="0" applyBorder="1"/>
    <xf numFmtId="0" fontId="18" fillId="0" borderId="5" xfId="0" applyFont="1" applyBorder="1" applyAlignment="1" applyProtection="1">
      <alignment vertical="center" readingOrder="1"/>
    </xf>
    <xf numFmtId="0" fontId="18" fillId="0" borderId="5" xfId="0" applyFont="1" applyBorder="1" applyAlignment="1" applyProtection="1">
      <alignment horizontal="left" vertical="center" wrapText="1" readingOrder="1"/>
    </xf>
    <xf numFmtId="0" fontId="14" fillId="0" borderId="20" xfId="0" applyFont="1" applyFill="1" applyBorder="1" applyAlignment="1" applyProtection="1">
      <alignment vertical="center"/>
    </xf>
    <xf numFmtId="167" fontId="0" fillId="0" borderId="0" xfId="0" applyNumberFormat="1"/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6" fillId="0" borderId="31" xfId="0" applyFont="1" applyBorder="1" applyAlignment="1" applyProtection="1">
      <alignment horizontal="center" vertical="center" wrapText="1" readingOrder="1"/>
      <protection hidden="1"/>
    </xf>
    <xf numFmtId="0" fontId="16" fillId="9" borderId="31" xfId="0" applyFont="1" applyFill="1" applyBorder="1" applyAlignment="1" applyProtection="1">
      <alignment horizontal="center" vertical="center" wrapText="1" readingOrder="1"/>
      <protection hidden="1"/>
    </xf>
    <xf numFmtId="0" fontId="15" fillId="9" borderId="48" xfId="0" applyFont="1" applyFill="1" applyBorder="1" applyAlignment="1" applyProtection="1">
      <alignment horizontal="center"/>
      <protection locked="0"/>
    </xf>
    <xf numFmtId="0" fontId="0" fillId="0" borderId="0" xfId="0" applyNumberFormat="1"/>
    <xf numFmtId="168" fontId="0" fillId="0" borderId="0" xfId="0" applyNumberFormat="1"/>
    <xf numFmtId="0" fontId="3" fillId="0" borderId="0" xfId="0" applyFont="1"/>
    <xf numFmtId="0" fontId="0" fillId="11" borderId="0" xfId="0" applyFill="1"/>
    <xf numFmtId="165" fontId="0" fillId="11" borderId="0" xfId="0" applyNumberFormat="1" applyFill="1"/>
    <xf numFmtId="14" fontId="0" fillId="0" borderId="0" xfId="0" applyNumberFormat="1" applyFill="1"/>
    <xf numFmtId="0" fontId="0" fillId="0" borderId="0" xfId="0" applyFill="1"/>
    <xf numFmtId="168" fontId="0" fillId="0" borderId="0" xfId="0" applyNumberFormat="1" applyFill="1"/>
    <xf numFmtId="168" fontId="0" fillId="0" borderId="0" xfId="0" applyNumberFormat="1" applyAlignment="1">
      <alignment horizontal="right"/>
    </xf>
    <xf numFmtId="10" fontId="0" fillId="0" borderId="0" xfId="0" applyNumberFormat="1"/>
    <xf numFmtId="169" fontId="15" fillId="0" borderId="0" xfId="0" applyNumberFormat="1" applyFont="1" applyAlignment="1">
      <alignment horizontal="center"/>
    </xf>
    <xf numFmtId="0" fontId="2" fillId="0" borderId="4" xfId="0" applyFont="1" applyBorder="1" applyAlignment="1" applyProtection="1">
      <alignment vertical="center"/>
    </xf>
    <xf numFmtId="0" fontId="2" fillId="0" borderId="5" xfId="0" applyFont="1" applyBorder="1" applyAlignment="1" applyProtection="1">
      <alignment vertical="center"/>
    </xf>
    <xf numFmtId="0" fontId="2" fillId="0" borderId="5" xfId="0" applyFont="1" applyBorder="1" applyAlignment="1" applyProtection="1">
      <alignment horizontal="center" vertical="center"/>
    </xf>
    <xf numFmtId="0" fontId="0" fillId="0" borderId="5" xfId="0" applyBorder="1" applyProtection="1"/>
    <xf numFmtId="0" fontId="0" fillId="0" borderId="13" xfId="0" applyBorder="1" applyAlignment="1" applyProtection="1"/>
    <xf numFmtId="0" fontId="0" fillId="0" borderId="16" xfId="0" applyBorder="1" applyAlignment="1" applyProtection="1"/>
    <xf numFmtId="0" fontId="0" fillId="0" borderId="15" xfId="0" applyBorder="1" applyAlignment="1" applyProtection="1"/>
    <xf numFmtId="0" fontId="0" fillId="0" borderId="17" xfId="0" applyBorder="1" applyAlignment="1" applyProtection="1"/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1" fillId="0" borderId="0" xfId="0" applyFont="1" applyBorder="1" applyAlignment="1" applyProtection="1">
      <alignment vertical="center"/>
    </xf>
    <xf numFmtId="0" fontId="0" fillId="0" borderId="0" xfId="0" applyProtection="1"/>
    <xf numFmtId="14" fontId="2" fillId="0" borderId="5" xfId="0" applyNumberFormat="1" applyFont="1" applyBorder="1" applyAlignment="1" applyProtection="1">
      <alignment horizontal="center" vertical="center"/>
    </xf>
    <xf numFmtId="165" fontId="0" fillId="0" borderId="0" xfId="0" applyNumberFormat="1" applyProtection="1"/>
    <xf numFmtId="166" fontId="0" fillId="0" borderId="0" xfId="0" applyNumberFormat="1" applyProtection="1"/>
    <xf numFmtId="167" fontId="0" fillId="0" borderId="0" xfId="0" applyNumberFormat="1" applyProtection="1"/>
    <xf numFmtId="0" fontId="0" fillId="0" borderId="8" xfId="0" applyBorder="1" applyAlignment="1" applyProtection="1">
      <alignment horizontal="center"/>
    </xf>
    <xf numFmtId="14" fontId="0" fillId="0" borderId="8" xfId="0" applyNumberFormat="1" applyBorder="1" applyAlignment="1" applyProtection="1">
      <alignment horizontal="center"/>
    </xf>
    <xf numFmtId="0" fontId="22" fillId="0" borderId="0" xfId="0" applyFont="1" applyProtection="1"/>
    <xf numFmtId="0" fontId="2" fillId="0" borderId="0" xfId="0" applyFont="1" applyFill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166" fontId="0" fillId="0" borderId="14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165" fontId="0" fillId="0" borderId="5" xfId="0" applyNumberFormat="1" applyBorder="1" applyAlignment="1" applyProtection="1">
      <alignment horizontal="center" vertical="center"/>
    </xf>
    <xf numFmtId="167" fontId="0" fillId="0" borderId="14" xfId="0" applyNumberFormat="1" applyBorder="1" applyAlignment="1" applyProtection="1">
      <alignment horizontal="center" vertical="center"/>
    </xf>
    <xf numFmtId="165" fontId="0" fillId="0" borderId="14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0" fontId="2" fillId="0" borderId="0" xfId="0" applyFont="1" applyBorder="1" applyAlignment="1" applyProtection="1"/>
    <xf numFmtId="0" fontId="2" fillId="0" borderId="0" xfId="0" applyFont="1" applyBorder="1" applyAlignment="1" applyProtection="1">
      <alignment horizontal="center" vertical="center"/>
    </xf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3" fillId="0" borderId="0" xfId="0" applyFont="1" applyBorder="1" applyProtection="1"/>
    <xf numFmtId="0" fontId="0" fillId="0" borderId="0" xfId="0" quotePrefix="1" applyBorder="1" applyAlignment="1" applyProtection="1">
      <alignment horizontal="center"/>
    </xf>
    <xf numFmtId="165" fontId="23" fillId="10" borderId="5" xfId="0" applyNumberFormat="1" applyFont="1" applyFill="1" applyBorder="1" applyAlignment="1" applyProtection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0" fontId="0" fillId="11" borderId="0" xfId="0" applyNumberFormat="1" applyFill="1"/>
    <xf numFmtId="14" fontId="0" fillId="11" borderId="0" xfId="0" applyNumberFormat="1" applyFill="1"/>
    <xf numFmtId="0" fontId="0" fillId="12" borderId="0" xfId="0" applyNumberFormat="1" applyFill="1"/>
    <xf numFmtId="14" fontId="0" fillId="12" borderId="0" xfId="0" applyNumberFormat="1" applyFill="1"/>
    <xf numFmtId="0" fontId="0" fillId="12" borderId="0" xfId="0" applyFill="1"/>
    <xf numFmtId="0" fontId="0" fillId="10" borderId="0" xfId="0" applyNumberFormat="1" applyFill="1"/>
    <xf numFmtId="14" fontId="0" fillId="10" borderId="0" xfId="0" applyNumberFormat="1" applyFill="1"/>
    <xf numFmtId="0" fontId="0" fillId="10" borderId="0" xfId="0" applyFill="1"/>
    <xf numFmtId="0" fontId="2" fillId="13" borderId="5" xfId="0" applyFont="1" applyFill="1" applyBorder="1" applyAlignment="1">
      <alignment horizontal="center" vertical="center"/>
    </xf>
    <xf numFmtId="166" fontId="0" fillId="13" borderId="14" xfId="0" applyNumberFormat="1" applyFill="1" applyBorder="1" applyAlignment="1">
      <alignment horizontal="center" vertical="center"/>
    </xf>
    <xf numFmtId="167" fontId="0" fillId="13" borderId="14" xfId="0" applyNumberFormat="1" applyFill="1" applyBorder="1" applyAlignment="1">
      <alignment horizontal="center" vertical="center"/>
    </xf>
    <xf numFmtId="165" fontId="0" fillId="13" borderId="14" xfId="0" applyNumberFormat="1" applyFill="1" applyBorder="1" applyAlignment="1">
      <alignment horizontal="center" vertical="center"/>
    </xf>
    <xf numFmtId="0" fontId="2" fillId="13" borderId="5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Protection="1"/>
    <xf numFmtId="0" fontId="0" fillId="11" borderId="0" xfId="0" applyNumberFormat="1" applyFill="1" applyAlignment="1">
      <alignment vertical="center" wrapText="1"/>
    </xf>
    <xf numFmtId="14" fontId="0" fillId="11" borderId="0" xfId="0" applyNumberFormat="1" applyFill="1" applyAlignment="1">
      <alignment vertical="center" wrapText="1"/>
    </xf>
    <xf numFmtId="0" fontId="0" fillId="11" borderId="0" xfId="0" applyFill="1" applyAlignment="1">
      <alignment vertical="center" wrapText="1"/>
    </xf>
    <xf numFmtId="0" fontId="0" fillId="10" borderId="0" xfId="0" applyNumberFormat="1" applyFill="1" applyAlignment="1">
      <alignment vertical="center" wrapText="1"/>
    </xf>
    <xf numFmtId="14" fontId="0" fillId="10" borderId="0" xfId="0" applyNumberFormat="1" applyFill="1" applyAlignment="1">
      <alignment vertical="center" wrapText="1"/>
    </xf>
    <xf numFmtId="0" fontId="0" fillId="10" borderId="0" xfId="0" applyFill="1" applyAlignment="1">
      <alignment vertical="center" wrapText="1"/>
    </xf>
    <xf numFmtId="167" fontId="0" fillId="0" borderId="0" xfId="0" applyNumberFormat="1" applyAlignment="1">
      <alignment vertical="center" wrapText="1"/>
    </xf>
    <xf numFmtId="168" fontId="2" fillId="0" borderId="5" xfId="0" quotePrefix="1" applyNumberFormat="1" applyFont="1" applyBorder="1" applyAlignment="1" applyProtection="1">
      <alignment horizontal="center" vertical="center"/>
    </xf>
    <xf numFmtId="165" fontId="2" fillId="0" borderId="0" xfId="0" applyNumberFormat="1" applyFont="1" applyBorder="1" applyAlignment="1" applyProtection="1">
      <alignment horizontal="center" vertical="center"/>
    </xf>
    <xf numFmtId="166" fontId="0" fillId="13" borderId="14" xfId="0" applyNumberFormat="1" applyFill="1" applyBorder="1" applyAlignment="1">
      <alignment horizontal="center" vertical="center"/>
    </xf>
    <xf numFmtId="167" fontId="5" fillId="0" borderId="5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/>
    <xf numFmtId="170" fontId="5" fillId="3" borderId="0" xfId="0" applyNumberFormat="1" applyFont="1" applyFill="1" applyBorder="1" applyProtection="1"/>
    <xf numFmtId="171" fontId="5" fillId="3" borderId="0" xfId="0" applyNumberFormat="1" applyFont="1" applyFill="1" applyBorder="1" applyProtection="1"/>
    <xf numFmtId="166" fontId="0" fillId="0" borderId="14" xfId="0" applyNumberFormat="1" applyBorder="1" applyAlignment="1" applyProtection="1">
      <alignment horizontal="center" vertical="center"/>
    </xf>
    <xf numFmtId="172" fontId="5" fillId="3" borderId="0" xfId="0" applyNumberFormat="1" applyFont="1" applyFill="1" applyBorder="1" applyProtection="1"/>
    <xf numFmtId="165" fontId="0" fillId="13" borderId="14" xfId="0" quotePrefix="1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5" fillId="0" borderId="22" xfId="0" applyFont="1" applyFill="1" applyBorder="1" applyAlignment="1" applyProtection="1">
      <alignment horizontal="center"/>
    </xf>
    <xf numFmtId="0" fontId="5" fillId="0" borderId="23" xfId="0" applyFont="1" applyFill="1" applyBorder="1" applyAlignment="1" applyProtection="1">
      <alignment horizontal="center"/>
    </xf>
    <xf numFmtId="0" fontId="5" fillId="0" borderId="25" xfId="0" applyFont="1" applyFill="1" applyBorder="1" applyAlignment="1" applyProtection="1">
      <alignment horizontal="center"/>
    </xf>
    <xf numFmtId="0" fontId="5" fillId="0" borderId="26" xfId="0" applyFont="1" applyFill="1" applyBorder="1" applyAlignment="1" applyProtection="1">
      <alignment horizontal="center"/>
    </xf>
    <xf numFmtId="0" fontId="5" fillId="0" borderId="27" xfId="0" applyFont="1" applyFill="1" applyBorder="1" applyAlignment="1" applyProtection="1">
      <alignment horizontal="center"/>
    </xf>
    <xf numFmtId="0" fontId="5" fillId="0" borderId="28" xfId="0" applyFont="1" applyFill="1" applyBorder="1" applyAlignment="1" applyProtection="1">
      <alignment horizontal="center"/>
    </xf>
    <xf numFmtId="0" fontId="6" fillId="2" borderId="22" xfId="0" applyFont="1" applyFill="1" applyBorder="1" applyAlignment="1" applyProtection="1">
      <alignment horizontal="center" vertical="center" wrapText="1"/>
    </xf>
    <xf numFmtId="0" fontId="6" fillId="2" borderId="24" xfId="0" applyFont="1" applyFill="1" applyBorder="1" applyAlignment="1" applyProtection="1">
      <alignment horizontal="center" vertical="center" wrapText="1"/>
    </xf>
    <xf numFmtId="0" fontId="6" fillId="2" borderId="23" xfId="0" applyFont="1" applyFill="1" applyBorder="1" applyAlignment="1" applyProtection="1">
      <alignment horizontal="center" vertical="center" wrapText="1"/>
    </xf>
    <xf numFmtId="0" fontId="6" fillId="2" borderId="25" xfId="0" applyFont="1" applyFill="1" applyBorder="1" applyAlignment="1" applyProtection="1">
      <alignment horizontal="center" vertical="center" wrapText="1"/>
    </xf>
    <xf numFmtId="0" fontId="6" fillId="2" borderId="0" xfId="0" applyFont="1" applyFill="1" applyBorder="1" applyAlignment="1" applyProtection="1">
      <alignment horizontal="center" vertical="center" wrapText="1"/>
    </xf>
    <xf numFmtId="0" fontId="6" fillId="2" borderId="26" xfId="0" applyFont="1" applyFill="1" applyBorder="1" applyAlignment="1" applyProtection="1">
      <alignment horizontal="center" vertical="center" wrapText="1"/>
    </xf>
    <xf numFmtId="0" fontId="6" fillId="2" borderId="27" xfId="0" applyFont="1" applyFill="1" applyBorder="1" applyAlignment="1" applyProtection="1">
      <alignment horizontal="center" vertical="center" wrapText="1"/>
    </xf>
    <xf numFmtId="0" fontId="6" fillId="2" borderId="29" xfId="0" applyFont="1" applyFill="1" applyBorder="1" applyAlignment="1" applyProtection="1">
      <alignment horizontal="center" vertical="center" wrapText="1"/>
    </xf>
    <xf numFmtId="0" fontId="6" fillId="2" borderId="28" xfId="0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23" fillId="0" borderId="4" xfId="0" applyFont="1" applyBorder="1" applyAlignment="1" applyProtection="1">
      <alignment horizontal="center"/>
    </xf>
    <xf numFmtId="0" fontId="23" fillId="0" borderId="5" xfId="0" applyFont="1" applyBorder="1" applyAlignment="1" applyProtection="1">
      <alignment horizontal="center"/>
    </xf>
    <xf numFmtId="0" fontId="0" fillId="0" borderId="19" xfId="0" quotePrefix="1" applyBorder="1" applyAlignment="1" applyProtection="1">
      <alignment horizontal="center"/>
    </xf>
    <xf numFmtId="0" fontId="0" fillId="0" borderId="20" xfId="0" applyBorder="1" applyAlignment="1" applyProtection="1">
      <alignment horizontal="center"/>
    </xf>
    <xf numFmtId="0" fontId="0" fillId="0" borderId="21" xfId="0" applyBorder="1" applyAlignment="1" applyProtection="1">
      <alignment horizontal="center"/>
    </xf>
    <xf numFmtId="0" fontId="0" fillId="0" borderId="38" xfId="0" applyBorder="1" applyAlignment="1" applyProtection="1">
      <alignment horizontal="center"/>
    </xf>
    <xf numFmtId="0" fontId="0" fillId="0" borderId="39" xfId="0" applyBorder="1" applyAlignment="1" applyProtection="1">
      <alignment horizontal="center"/>
    </xf>
    <xf numFmtId="0" fontId="0" fillId="0" borderId="18" xfId="0" applyBorder="1" applyAlignment="1" applyProtection="1">
      <alignment horizontal="center"/>
    </xf>
    <xf numFmtId="167" fontId="0" fillId="0" borderId="14" xfId="0" applyNumberFormat="1" applyBorder="1" applyAlignment="1" applyProtection="1">
      <alignment horizontal="center" vertical="center"/>
    </xf>
    <xf numFmtId="167" fontId="0" fillId="0" borderId="5" xfId="0" applyNumberFormat="1" applyBorder="1" applyAlignment="1" applyProtection="1">
      <alignment horizontal="center" vertical="center"/>
    </xf>
    <xf numFmtId="165" fontId="0" fillId="0" borderId="6" xfId="0" applyNumberFormat="1" applyBorder="1" applyAlignment="1" applyProtection="1">
      <alignment horizontal="center" vertical="center"/>
    </xf>
    <xf numFmtId="0" fontId="0" fillId="0" borderId="10" xfId="0" quotePrefix="1" applyBorder="1" applyAlignment="1" applyProtection="1">
      <alignment horizontal="center"/>
    </xf>
    <xf numFmtId="0" fontId="0" fillId="0" borderId="11" xfId="0" quotePrefix="1" applyBorder="1" applyAlignment="1" applyProtection="1">
      <alignment horizontal="center"/>
    </xf>
    <xf numFmtId="0" fontId="0" fillId="0" borderId="12" xfId="0" quotePrefix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10" borderId="5" xfId="0" applyNumberFormat="1" applyFont="1" applyFill="1" applyBorder="1" applyAlignment="1" applyProtection="1">
      <alignment horizontal="center" vertical="center"/>
    </xf>
    <xf numFmtId="165" fontId="2" fillId="10" borderId="6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14" fontId="0" fillId="0" borderId="5" xfId="0" applyNumberForma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>
      <alignment horizontal="center"/>
    </xf>
    <xf numFmtId="166" fontId="0" fillId="0" borderId="14" xfId="0" applyNumberFormat="1" applyBorder="1" applyAlignment="1" applyProtection="1">
      <alignment horizontal="center" vertical="center"/>
    </xf>
    <xf numFmtId="167" fontId="0" fillId="0" borderId="6" xfId="0" applyNumberFormat="1" applyBorder="1" applyAlignment="1" applyProtection="1">
      <alignment horizontal="center" vertical="center"/>
    </xf>
    <xf numFmtId="0" fontId="14" fillId="0" borderId="15" xfId="0" applyFont="1" applyBorder="1" applyAlignment="1" applyProtection="1">
      <alignment horizontal="center" vertical="center" wrapText="1"/>
    </xf>
    <xf numFmtId="0" fontId="14" fillId="0" borderId="20" xfId="0" applyFont="1" applyBorder="1" applyAlignment="1" applyProtection="1">
      <alignment horizontal="center" vertical="center" wrapText="1"/>
    </xf>
    <xf numFmtId="0" fontId="14" fillId="0" borderId="17" xfId="0" applyFont="1" applyBorder="1" applyAlignment="1" applyProtection="1">
      <alignment horizontal="center" vertical="center" wrapText="1"/>
    </xf>
    <xf numFmtId="0" fontId="14" fillId="0" borderId="5" xfId="0" applyFont="1" applyBorder="1" applyAlignment="1" applyProtection="1">
      <alignment horizontal="center" vertical="center" wrapText="1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29" xfId="0" applyFont="1" applyBorder="1" applyAlignment="1">
      <alignment horizontal="center" vertical="center" wrapText="1"/>
    </xf>
    <xf numFmtId="0" fontId="12" fillId="0" borderId="56" xfId="0" applyFont="1" applyBorder="1" applyAlignment="1">
      <alignment horizontal="center"/>
    </xf>
    <xf numFmtId="0" fontId="15" fillId="10" borderId="53" xfId="0" applyFont="1" applyFill="1" applyBorder="1" applyAlignment="1" applyProtection="1">
      <alignment horizontal="center" vertical="center" wrapText="1"/>
      <protection locked="0"/>
    </xf>
    <xf numFmtId="0" fontId="15" fillId="10" borderId="48" xfId="0" applyFont="1" applyFill="1" applyBorder="1" applyAlignment="1" applyProtection="1">
      <alignment horizontal="center" vertical="center" wrapText="1"/>
      <protection locked="0"/>
    </xf>
    <xf numFmtId="0" fontId="16" fillId="9" borderId="48" xfId="0" applyFont="1" applyFill="1" applyBorder="1" applyAlignment="1" applyProtection="1">
      <alignment horizontal="center" vertical="center" wrapText="1" readingOrder="1"/>
      <protection locked="0"/>
    </xf>
    <xf numFmtId="0" fontId="19" fillId="0" borderId="22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5" fillId="10" borderId="34" xfId="0" applyFont="1" applyFill="1" applyBorder="1" applyAlignment="1">
      <alignment horizontal="center" vertical="center" wrapText="1"/>
    </xf>
    <xf numFmtId="0" fontId="15" fillId="10" borderId="24" xfId="0" applyFont="1" applyFill="1" applyBorder="1" applyAlignment="1">
      <alignment horizontal="center" vertical="center" wrapText="1"/>
    </xf>
    <xf numFmtId="0" fontId="15" fillId="10" borderId="23" xfId="0" applyFont="1" applyFill="1" applyBorder="1" applyAlignment="1">
      <alignment horizontal="center" vertical="center" wrapText="1"/>
    </xf>
    <xf numFmtId="0" fontId="15" fillId="10" borderId="54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15" fillId="10" borderId="55" xfId="0" applyFont="1" applyFill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wrapText="1"/>
    </xf>
    <xf numFmtId="0" fontId="15" fillId="10" borderId="28" xfId="0" applyFont="1" applyFill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 wrapText="1"/>
    </xf>
    <xf numFmtId="0" fontId="19" fillId="0" borderId="42" xfId="0" applyFont="1" applyBorder="1" applyAlignment="1">
      <alignment horizontal="center" vertical="center" wrapText="1"/>
    </xf>
    <xf numFmtId="0" fontId="0" fillId="9" borderId="42" xfId="0" applyFill="1" applyBorder="1" applyAlignment="1">
      <alignment horizontal="center" vertical="center" wrapText="1"/>
    </xf>
    <xf numFmtId="0" fontId="0" fillId="9" borderId="43" xfId="0" applyFill="1" applyBorder="1" applyAlignment="1">
      <alignment horizontal="center" vertical="center" wrapText="1"/>
    </xf>
    <xf numFmtId="0" fontId="16" fillId="9" borderId="48" xfId="0" applyFont="1" applyFill="1" applyBorder="1" applyAlignment="1" applyProtection="1">
      <alignment horizontal="center" vertical="center" readingOrder="1"/>
      <protection locked="0"/>
    </xf>
    <xf numFmtId="0" fontId="0" fillId="0" borderId="48" xfId="0" applyBorder="1" applyAlignment="1">
      <alignment horizontal="center" vertical="center" readingOrder="1"/>
    </xf>
    <xf numFmtId="165" fontId="16" fillId="9" borderId="48" xfId="0" applyNumberFormat="1" applyFont="1" applyFill="1" applyBorder="1" applyAlignment="1" applyProtection="1">
      <alignment horizontal="center" vertical="center" readingOrder="1"/>
      <protection locked="0"/>
    </xf>
    <xf numFmtId="165" fontId="0" fillId="0" borderId="48" xfId="0" applyNumberFormat="1" applyBorder="1" applyAlignment="1">
      <alignment horizontal="center" vertical="center" readingOrder="1"/>
    </xf>
    <xf numFmtId="166" fontId="16" fillId="9" borderId="48" xfId="0" applyNumberFormat="1" applyFont="1" applyFill="1" applyBorder="1" applyAlignment="1" applyProtection="1">
      <alignment horizontal="center" vertical="center" readingOrder="1"/>
      <protection locked="0"/>
    </xf>
    <xf numFmtId="0" fontId="13" fillId="0" borderId="25" xfId="0" applyFont="1" applyBorder="1" applyAlignment="1">
      <alignment horizontal="center"/>
    </xf>
    <xf numFmtId="0" fontId="15" fillId="9" borderId="48" xfId="0" applyFont="1" applyFill="1" applyBorder="1" applyAlignment="1">
      <alignment horizontal="center"/>
    </xf>
    <xf numFmtId="14" fontId="12" fillId="9" borderId="48" xfId="0" applyNumberFormat="1" applyFont="1" applyFill="1" applyBorder="1" applyAlignment="1">
      <alignment horizontal="center"/>
    </xf>
    <xf numFmtId="0" fontId="12" fillId="9" borderId="48" xfId="0" applyFont="1" applyFill="1" applyBorder="1" applyAlignment="1">
      <alignment horizontal="center"/>
    </xf>
    <xf numFmtId="0" fontId="12" fillId="9" borderId="49" xfId="0" applyFont="1" applyFill="1" applyBorder="1" applyAlignment="1">
      <alignment horizontal="center"/>
    </xf>
    <xf numFmtId="0" fontId="13" fillId="8" borderId="44" xfId="0" applyFont="1" applyFill="1" applyBorder="1" applyAlignment="1">
      <alignment horizontal="center"/>
    </xf>
    <xf numFmtId="0" fontId="13" fillId="8" borderId="31" xfId="0" applyFont="1" applyFill="1" applyBorder="1" applyAlignment="1">
      <alignment horizontal="center"/>
    </xf>
    <xf numFmtId="0" fontId="13" fillId="8" borderId="45" xfId="0" applyFont="1" applyFill="1" applyBorder="1" applyAlignment="1">
      <alignment horizontal="center"/>
    </xf>
    <xf numFmtId="0" fontId="16" fillId="0" borderId="44" xfId="0" applyFont="1" applyBorder="1" applyAlignment="1" applyProtection="1">
      <alignment horizontal="center" vertical="center" wrapText="1" readingOrder="1"/>
      <protection hidden="1"/>
    </xf>
    <xf numFmtId="0" fontId="16" fillId="0" borderId="31" xfId="0" applyFont="1" applyBorder="1" applyAlignment="1" applyProtection="1">
      <alignment horizontal="center" vertical="center" wrapText="1" readingOrder="1"/>
      <protection hidden="1"/>
    </xf>
    <xf numFmtId="0" fontId="16" fillId="9" borderId="31" xfId="0" applyFont="1" applyFill="1" applyBorder="1" applyAlignment="1" applyProtection="1">
      <alignment horizontal="center" vertical="center" wrapText="1" readingOrder="1"/>
      <protection hidden="1"/>
    </xf>
    <xf numFmtId="0" fontId="15" fillId="10" borderId="50" xfId="0" applyFont="1" applyFill="1" applyBorder="1" applyAlignment="1" applyProtection="1">
      <alignment horizontal="left" vertical="center" wrapText="1"/>
      <protection locked="0"/>
    </xf>
    <xf numFmtId="0" fontId="15" fillId="10" borderId="51" xfId="0" applyFont="1" applyFill="1" applyBorder="1" applyAlignment="1" applyProtection="1">
      <alignment horizontal="left" vertical="center" wrapText="1"/>
      <protection locked="0"/>
    </xf>
    <xf numFmtId="0" fontId="16" fillId="9" borderId="51" xfId="0" applyFont="1" applyFill="1" applyBorder="1" applyAlignment="1" applyProtection="1">
      <alignment horizontal="center" vertical="center" wrapText="1" readingOrder="1"/>
      <protection locked="0"/>
    </xf>
    <xf numFmtId="0" fontId="13" fillId="8" borderId="44" xfId="0" applyFont="1" applyFill="1" applyBorder="1" applyAlignment="1">
      <alignment horizontal="center" vertical="center"/>
    </xf>
    <xf numFmtId="0" fontId="12" fillId="8" borderId="31" xfId="0" applyFont="1" applyFill="1" applyBorder="1" applyAlignment="1">
      <alignment horizontal="center" vertical="center"/>
    </xf>
    <xf numFmtId="0" fontId="12" fillId="8" borderId="45" xfId="0" applyFont="1" applyFill="1" applyBorder="1" applyAlignment="1">
      <alignment horizontal="center" vertical="center"/>
    </xf>
    <xf numFmtId="0" fontId="12" fillId="9" borderId="48" xfId="0" applyFont="1" applyFill="1" applyBorder="1" applyAlignment="1" applyProtection="1">
      <alignment horizontal="center"/>
      <protection locked="0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168" fontId="12" fillId="9" borderId="46" xfId="0" applyNumberFormat="1" applyFont="1" applyFill="1" applyBorder="1" applyAlignment="1">
      <alignment horizontal="center"/>
    </xf>
    <xf numFmtId="0" fontId="12" fillId="9" borderId="46" xfId="0" applyFont="1" applyFill="1" applyBorder="1" applyAlignment="1">
      <alignment horizontal="center"/>
    </xf>
    <xf numFmtId="0" fontId="12" fillId="9" borderId="47" xfId="0" applyFont="1" applyFill="1" applyBorder="1" applyAlignment="1">
      <alignment horizontal="center"/>
    </xf>
    <xf numFmtId="0" fontId="11" fillId="0" borderId="22" xfId="0" applyFont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9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67" fontId="0" fillId="0" borderId="14" xfId="0" applyNumberFormat="1" applyBorder="1" applyAlignment="1">
      <alignment horizontal="center" vertical="center"/>
    </xf>
    <xf numFmtId="167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6" fontId="0" fillId="0" borderId="14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166" fontId="0" fillId="13" borderId="14" xfId="0" applyNumberFormat="1" applyFill="1" applyBorder="1" applyAlignment="1">
      <alignment horizontal="center" vertical="center"/>
    </xf>
    <xf numFmtId="0" fontId="0" fillId="0" borderId="0" xfId="0" applyAlignment="1"/>
    <xf numFmtId="0" fontId="2" fillId="13" borderId="5" xfId="0" applyFont="1" applyFill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/>
    </xf>
    <xf numFmtId="165" fontId="2" fillId="13" borderId="5" xfId="0" applyNumberFormat="1" applyFont="1" applyFill="1" applyBorder="1" applyAlignment="1">
      <alignment horizontal="center" vertical="center"/>
    </xf>
    <xf numFmtId="165" fontId="2" fillId="13" borderId="6" xfId="0" applyNumberFormat="1" applyFont="1" applyFill="1" applyBorder="1" applyAlignment="1">
      <alignment horizontal="center" vertical="center"/>
    </xf>
    <xf numFmtId="0" fontId="12" fillId="9" borderId="46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6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26" Type="http://schemas.openxmlformats.org/officeDocument/2006/relationships/chartsheet" Target="chartsheets/sheet21.xml"/><Relationship Id="rId39" Type="http://schemas.openxmlformats.org/officeDocument/2006/relationships/chartsheet" Target="chartsheets/sheet34.xml"/><Relationship Id="rId21" Type="http://schemas.openxmlformats.org/officeDocument/2006/relationships/chartsheet" Target="chartsheets/sheet16.xml"/><Relationship Id="rId34" Type="http://schemas.openxmlformats.org/officeDocument/2006/relationships/chartsheet" Target="chartsheets/sheet29.xml"/><Relationship Id="rId42" Type="http://schemas.openxmlformats.org/officeDocument/2006/relationships/chartsheet" Target="chartsheets/sheet37.xml"/><Relationship Id="rId47" Type="http://schemas.openxmlformats.org/officeDocument/2006/relationships/chartsheet" Target="chartsheets/sheet42.xml"/><Relationship Id="rId50" Type="http://schemas.openxmlformats.org/officeDocument/2006/relationships/chartsheet" Target="chartsheets/sheet45.xml"/><Relationship Id="rId55" Type="http://schemas.openxmlformats.org/officeDocument/2006/relationships/chartsheet" Target="chartsheets/sheet50.xml"/><Relationship Id="rId63" Type="http://schemas.openxmlformats.org/officeDocument/2006/relationships/worksheet" Target="worksheets/sheet6.xml"/><Relationship Id="rId68" Type="http://schemas.openxmlformats.org/officeDocument/2006/relationships/sharedStrings" Target="sharedStrings.xml"/><Relationship Id="rId7" Type="http://schemas.openxmlformats.org/officeDocument/2006/relationships/chartsheet" Target="chartsheets/sheet2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9" Type="http://schemas.openxmlformats.org/officeDocument/2006/relationships/chartsheet" Target="chartsheets/sheet24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openxmlformats.org/officeDocument/2006/relationships/chartsheet" Target="chartsheets/sheet19.xml"/><Relationship Id="rId32" Type="http://schemas.openxmlformats.org/officeDocument/2006/relationships/chartsheet" Target="chartsheets/sheet27.xml"/><Relationship Id="rId37" Type="http://schemas.openxmlformats.org/officeDocument/2006/relationships/chartsheet" Target="chartsheets/sheet32.xml"/><Relationship Id="rId40" Type="http://schemas.openxmlformats.org/officeDocument/2006/relationships/chartsheet" Target="chartsheets/sheet35.xml"/><Relationship Id="rId45" Type="http://schemas.openxmlformats.org/officeDocument/2006/relationships/chartsheet" Target="chartsheets/sheet40.xml"/><Relationship Id="rId53" Type="http://schemas.openxmlformats.org/officeDocument/2006/relationships/chartsheet" Target="chartsheets/sheet48.xml"/><Relationship Id="rId58" Type="http://schemas.openxmlformats.org/officeDocument/2006/relationships/chartsheet" Target="chartsheets/sheet53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chartsheet" Target="chartsheets/sheet18.xml"/><Relationship Id="rId28" Type="http://schemas.openxmlformats.org/officeDocument/2006/relationships/chartsheet" Target="chartsheets/sheet23.xml"/><Relationship Id="rId36" Type="http://schemas.openxmlformats.org/officeDocument/2006/relationships/chartsheet" Target="chartsheets/sheet31.xml"/><Relationship Id="rId49" Type="http://schemas.openxmlformats.org/officeDocument/2006/relationships/chartsheet" Target="chartsheets/sheet44.xml"/><Relationship Id="rId57" Type="http://schemas.openxmlformats.org/officeDocument/2006/relationships/chartsheet" Target="chartsheets/sheet52.xml"/><Relationship Id="rId61" Type="http://schemas.openxmlformats.org/officeDocument/2006/relationships/chartsheet" Target="chartsheets/sheet56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31" Type="http://schemas.openxmlformats.org/officeDocument/2006/relationships/chartsheet" Target="chartsheets/sheet26.xml"/><Relationship Id="rId44" Type="http://schemas.openxmlformats.org/officeDocument/2006/relationships/chartsheet" Target="chartsheets/sheet39.xml"/><Relationship Id="rId52" Type="http://schemas.openxmlformats.org/officeDocument/2006/relationships/chartsheet" Target="chartsheets/sheet47.xml"/><Relationship Id="rId60" Type="http://schemas.openxmlformats.org/officeDocument/2006/relationships/chartsheet" Target="chartsheets/sheet55.xml"/><Relationship Id="rId65" Type="http://schemas.openxmlformats.org/officeDocument/2006/relationships/worksheet" Target="worksheets/sheet8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chartsheet" Target="chartsheets/sheet17.xml"/><Relationship Id="rId27" Type="http://schemas.openxmlformats.org/officeDocument/2006/relationships/chartsheet" Target="chartsheets/sheet22.xml"/><Relationship Id="rId30" Type="http://schemas.openxmlformats.org/officeDocument/2006/relationships/chartsheet" Target="chartsheets/sheet25.xml"/><Relationship Id="rId35" Type="http://schemas.openxmlformats.org/officeDocument/2006/relationships/chartsheet" Target="chartsheets/sheet30.xml"/><Relationship Id="rId43" Type="http://schemas.openxmlformats.org/officeDocument/2006/relationships/chartsheet" Target="chartsheets/sheet38.xml"/><Relationship Id="rId48" Type="http://schemas.openxmlformats.org/officeDocument/2006/relationships/chartsheet" Target="chartsheets/sheet43.xml"/><Relationship Id="rId56" Type="http://schemas.openxmlformats.org/officeDocument/2006/relationships/chartsheet" Target="chartsheets/sheet51.xml"/><Relationship Id="rId64" Type="http://schemas.openxmlformats.org/officeDocument/2006/relationships/worksheet" Target="worksheets/sheet7.xml"/><Relationship Id="rId69" Type="http://schemas.openxmlformats.org/officeDocument/2006/relationships/calcChain" Target="calcChain.xml"/><Relationship Id="rId8" Type="http://schemas.openxmlformats.org/officeDocument/2006/relationships/chartsheet" Target="chartsheets/sheet3.xml"/><Relationship Id="rId51" Type="http://schemas.openxmlformats.org/officeDocument/2006/relationships/chartsheet" Target="chartsheets/sheet46.xml"/><Relationship Id="rId3" Type="http://schemas.openxmlformats.org/officeDocument/2006/relationships/worksheet" Target="worksheets/sheet3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openxmlformats.org/officeDocument/2006/relationships/chartsheet" Target="chartsheets/sheet20.xml"/><Relationship Id="rId33" Type="http://schemas.openxmlformats.org/officeDocument/2006/relationships/chartsheet" Target="chartsheets/sheet28.xml"/><Relationship Id="rId38" Type="http://schemas.openxmlformats.org/officeDocument/2006/relationships/chartsheet" Target="chartsheets/sheet33.xml"/><Relationship Id="rId46" Type="http://schemas.openxmlformats.org/officeDocument/2006/relationships/chartsheet" Target="chartsheets/sheet41.xml"/><Relationship Id="rId59" Type="http://schemas.openxmlformats.org/officeDocument/2006/relationships/chartsheet" Target="chartsheets/sheet54.xml"/><Relationship Id="rId67" Type="http://schemas.openxmlformats.org/officeDocument/2006/relationships/styles" Target="styles.xml"/><Relationship Id="rId20" Type="http://schemas.openxmlformats.org/officeDocument/2006/relationships/chartsheet" Target="chartsheets/sheet15.xml"/><Relationship Id="rId41" Type="http://schemas.openxmlformats.org/officeDocument/2006/relationships/chartsheet" Target="chartsheets/sheet36.xml"/><Relationship Id="rId54" Type="http://schemas.openxmlformats.org/officeDocument/2006/relationships/chartsheet" Target="chartsheets/sheet49.xml"/><Relationship Id="rId62" Type="http://schemas.openxmlformats.org/officeDocument/2006/relationships/chartsheet" Target="chartsheets/sheet57.xml"/><Relationship Id="rId70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GRAFICO DE CONTROL</a:t>
            </a:r>
          </a:p>
        </c:rich>
      </c:tx>
      <c:layout>
        <c:manualLayout>
          <c:xMode val="edge"/>
          <c:yMode val="edge"/>
          <c:x val="0.37519024502762721"/>
          <c:y val="1.27883279295970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847580119478909E-2"/>
          <c:y val="0.10742026699586103"/>
          <c:w val="0.91443726178874607"/>
          <c:h val="0.70334698628242343"/>
        </c:manualLayout>
      </c:layout>
      <c:lineChart>
        <c:grouping val="standard"/>
        <c:varyColors val="0"/>
        <c:ser>
          <c:idx val="0"/>
          <c:order val="0"/>
          <c:tx>
            <c:v>TITULO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Titulo!$H$6:$H$38</c:f>
              <c:numCache>
                <c:formatCode>0.0000</c:formatCode>
                <c:ptCount val="33"/>
                <c:pt idx="0">
                  <c:v>5.1779000000000002</c:v>
                </c:pt>
                <c:pt idx="1">
                  <c:v>5.4063999999999997</c:v>
                </c:pt>
                <c:pt idx="2">
                  <c:v>4.9783999999999997</c:v>
                </c:pt>
                <c:pt idx="3">
                  <c:v>5.0166000000000004</c:v>
                </c:pt>
                <c:pt idx="4">
                  <c:v>5.0072999999999999</c:v>
                </c:pt>
                <c:pt idx="5">
                  <c:v>5.0026999999999999</c:v>
                </c:pt>
                <c:pt idx="6">
                  <c:v>4.9743000000000004</c:v>
                </c:pt>
                <c:pt idx="7">
                  <c:v>5.2824999999999998</c:v>
                </c:pt>
                <c:pt idx="8">
                  <c:v>5.1841999999999997</c:v>
                </c:pt>
                <c:pt idx="9">
                  <c:v>5.1546000000000003</c:v>
                </c:pt>
                <c:pt idx="10">
                  <c:v>5.1138000000000003</c:v>
                </c:pt>
                <c:pt idx="11">
                  <c:v>5.0433000000000003</c:v>
                </c:pt>
                <c:pt idx="12">
                  <c:v>5.1022999999999996</c:v>
                </c:pt>
                <c:pt idx="13">
                  <c:v>4.9058000000000002</c:v>
                </c:pt>
                <c:pt idx="14">
                  <c:v>4.992</c:v>
                </c:pt>
                <c:pt idx="15">
                  <c:v>5.0964999999999998</c:v>
                </c:pt>
                <c:pt idx="16">
                  <c:v>5.1482999999999999</c:v>
                </c:pt>
                <c:pt idx="17">
                  <c:v>5.0507</c:v>
                </c:pt>
                <c:pt idx="18">
                  <c:v>5.0777000000000001</c:v>
                </c:pt>
                <c:pt idx="19">
                  <c:v>5.2488000000000001</c:v>
                </c:pt>
                <c:pt idx="20">
                  <c:v>5.1430999999999996</c:v>
                </c:pt>
                <c:pt idx="21">
                  <c:v>5.0378999999999996</c:v>
                </c:pt>
                <c:pt idx="22">
                  <c:v>5.1508000000000003</c:v>
                </c:pt>
                <c:pt idx="23">
                  <c:v>4.7849000000000004</c:v>
                </c:pt>
                <c:pt idx="24">
                  <c:v>4.9637000000000002</c:v>
                </c:pt>
                <c:pt idx="25">
                  <c:v>5.0532000000000004</c:v>
                </c:pt>
                <c:pt idx="26">
                  <c:v>5.1741000000000001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B3-4F2E-9E7D-657331E2023E}"/>
            </c:ext>
          </c:extLst>
        </c:ser>
        <c:ser>
          <c:idx val="1"/>
          <c:order val="1"/>
          <c:tx>
            <c:strRef>
              <c:f>Titulo!$P$5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Titulo!$P$6:$P$38</c:f>
              <c:numCache>
                <c:formatCode>General</c:formatCode>
                <c:ptCount val="33"/>
                <c:pt idx="0">
                  <c:v>5.5</c:v>
                </c:pt>
                <c:pt idx="1">
                  <c:v>5.5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5.5</c:v>
                </c:pt>
                <c:pt idx="8">
                  <c:v>5.5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5.5</c:v>
                </c:pt>
                <c:pt idx="27">
                  <c:v>5.5</c:v>
                </c:pt>
                <c:pt idx="28">
                  <c:v>5.5</c:v>
                </c:pt>
                <c:pt idx="29">
                  <c:v>5.5</c:v>
                </c:pt>
                <c:pt idx="30">
                  <c:v>5.5</c:v>
                </c:pt>
                <c:pt idx="32">
                  <c:v>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B3-4F2E-9E7D-657331E2023E}"/>
            </c:ext>
          </c:extLst>
        </c:ser>
        <c:ser>
          <c:idx val="2"/>
          <c:order val="2"/>
          <c:tx>
            <c:strRef>
              <c:f>Titulo!$Q$5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Titulo!$Q$6:$Q$38</c:f>
              <c:numCache>
                <c:formatCode>General</c:formatCode>
                <c:ptCount val="33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4.5</c:v>
                </c:pt>
                <c:pt idx="18">
                  <c:v>4.5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</c:v>
                </c:pt>
                <c:pt idx="27">
                  <c:v>4.5</c:v>
                </c:pt>
                <c:pt idx="28">
                  <c:v>4.5</c:v>
                </c:pt>
                <c:pt idx="29">
                  <c:v>4.5</c:v>
                </c:pt>
                <c:pt idx="30">
                  <c:v>4.5</c:v>
                </c:pt>
                <c:pt idx="32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B3-4F2E-9E7D-657331E2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535016"/>
        <c:axId val="797526784"/>
      </c:lineChart>
      <c:catAx>
        <c:axId val="797535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Día</a:t>
                </a:r>
              </a:p>
            </c:rich>
          </c:tx>
          <c:layout>
            <c:manualLayout>
              <c:xMode val="edge"/>
              <c:yMode val="edge"/>
              <c:x val="0.51212556486364635"/>
              <c:y val="0.864451134784622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9752678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797526784"/>
        <c:scaling>
          <c:orientation val="minMax"/>
          <c:max val="6"/>
          <c:min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797535016"/>
        <c:crosses val="autoZero"/>
        <c:crossBetween val="between"/>
        <c:majorUnit val="1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30107188665331"/>
          <c:y val="0.94676136071226391"/>
          <c:w val="0.44740374164281393"/>
          <c:h val="4.62963820698882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99CC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3E2-9C69-12D7949049E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3E2-9C69-12D7949049E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3E2-9C69-12D7949049E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3E2-9C69-12D7949049E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3E2-9C69-12D7949049E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3E2-9C69-12D7949049E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3E2-9C69-12D794904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3228176"/>
        <c:axId val="389122032"/>
      </c:barChart>
      <c:catAx>
        <c:axId val="26322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122032"/>
        <c:crosses val="autoZero"/>
        <c:auto val="1"/>
        <c:lblAlgn val="ctr"/>
        <c:lblOffset val="100"/>
        <c:noMultiLvlLbl val="0"/>
      </c:catAx>
      <c:valAx>
        <c:axId val="38912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322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3E-432C-B115-677D78BF74E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3E-432C-B115-677D78BF74E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3E-432C-B115-677D78BF74E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3E-432C-B115-677D78BF74E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3E-432C-B115-677D78BF74E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3E-432C-B115-677D78BF74E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F3E-432C-B115-677D78BF7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94080"/>
        <c:axId val="389119536"/>
      </c:barChart>
      <c:catAx>
        <c:axId val="22089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119536"/>
        <c:crosses val="autoZero"/>
        <c:auto val="1"/>
        <c:lblAlgn val="ctr"/>
        <c:lblOffset val="100"/>
        <c:noMultiLvlLbl val="0"/>
      </c:catAx>
      <c:valAx>
        <c:axId val="38911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089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1F-49F2-A004-C329821606C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1F-49F2-A004-C329821606C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1F-49F2-A004-C329821606C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1F-49F2-A004-C329821606C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1F-49F2-A004-C329821606C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1F-49F2-A004-C329821606C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1F-49F2-A004-C32982160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92048"/>
        <c:axId val="389020016"/>
      </c:barChart>
      <c:catAx>
        <c:axId val="2594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89020016"/>
        <c:crosses val="autoZero"/>
        <c:auto val="1"/>
        <c:lblAlgn val="ctr"/>
        <c:lblOffset val="100"/>
        <c:noMultiLvlLbl val="0"/>
      </c:catAx>
      <c:valAx>
        <c:axId val="38902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D-40C1-88CD-261E9F703CA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D-40C1-88CD-261E9F703CA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7D-40C1-88CD-261E9F703CA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7D-40C1-88CD-261E9F703CA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7D-40C1-88CD-261E9F703CA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7D-40C1-88CD-261E9F703CA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7D-40C1-88CD-261E9F703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5618992"/>
        <c:axId val="265619408"/>
      </c:barChart>
      <c:catAx>
        <c:axId val="26561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5619408"/>
        <c:crosses val="autoZero"/>
        <c:auto val="1"/>
        <c:lblAlgn val="ctr"/>
        <c:lblOffset val="100"/>
        <c:noMultiLvlLbl val="0"/>
      </c:catAx>
      <c:valAx>
        <c:axId val="26561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561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7-4F35-8E89-CEA31CD50E2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7-4F35-8E89-CEA31CD50E2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7-4F35-8E89-CEA31CD50E2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7-4F35-8E89-CEA31CD50E2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7-4F35-8E89-CEA31CD50E2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7-4F35-8E89-CEA31CD50E2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7-4F35-8E89-CEA31CD50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9340928"/>
        <c:axId val="269340512"/>
      </c:barChart>
      <c:catAx>
        <c:axId val="26934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9340512"/>
        <c:crosses val="autoZero"/>
        <c:auto val="1"/>
        <c:lblAlgn val="ctr"/>
        <c:lblOffset val="100"/>
        <c:noMultiLvlLbl val="0"/>
      </c:catAx>
      <c:valAx>
        <c:axId val="2693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93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4-497C-9438-FAFA6E2ECCB5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84-497C-9438-FAFA6E2ECCB5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84-497C-9438-FAFA6E2ECCB5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84-497C-9438-FAFA6E2ECCB5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84-497C-9438-FAFA6E2ECCB5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84-497C-9438-FAFA6E2ECCB5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84-497C-9438-FAFA6E2EC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449872"/>
        <c:axId val="263225680"/>
      </c:barChart>
      <c:catAx>
        <c:axId val="26444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3225680"/>
        <c:crosses val="autoZero"/>
        <c:auto val="1"/>
        <c:lblAlgn val="ctr"/>
        <c:lblOffset val="100"/>
        <c:noMultiLvlLbl val="0"/>
      </c:catAx>
      <c:valAx>
        <c:axId val="26322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4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36-422C-B63D-8E9AE7680C9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36-422C-B63D-8E9AE7680C9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36-422C-B63D-8E9AE7680C9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36-422C-B63D-8E9AE7680C9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36-422C-B63D-8E9AE7680C9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36-422C-B63D-8E9AE7680C9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36-422C-B63D-8E9AE7680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450288"/>
        <c:axId val="264450704"/>
      </c:barChart>
      <c:catAx>
        <c:axId val="26445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50704"/>
        <c:crosses val="autoZero"/>
        <c:auto val="1"/>
        <c:lblAlgn val="ctr"/>
        <c:lblOffset val="100"/>
        <c:noMultiLvlLbl val="0"/>
      </c:catAx>
      <c:valAx>
        <c:axId val="26445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5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2-4A75-BF95-0F127A4CF595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62-4A75-BF95-0F127A4CF595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62-4A75-BF95-0F127A4CF595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62-4A75-BF95-0F127A4CF595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2-4A75-BF95-0F127A4CF595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62-4A75-BF95-0F127A4CF595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2-4A75-BF95-0F127A4CF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494544"/>
        <c:axId val="259491216"/>
      </c:barChart>
      <c:catAx>
        <c:axId val="25949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1216"/>
        <c:crosses val="autoZero"/>
        <c:auto val="1"/>
        <c:lblAlgn val="ctr"/>
        <c:lblOffset val="100"/>
        <c:noMultiLvlLbl val="0"/>
      </c:catAx>
      <c:valAx>
        <c:axId val="25949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7-457B-9F3B-74956779930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67-457B-9F3B-74956779930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67-457B-9F3B-74956779930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67-457B-9F3B-74956779930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67-457B-9F3B-74956779930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67-457B-9F3B-74956779930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67-457B-9F3B-749567799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447376"/>
        <c:axId val="264447792"/>
      </c:barChart>
      <c:catAx>
        <c:axId val="26444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47792"/>
        <c:crosses val="autoZero"/>
        <c:auto val="1"/>
        <c:lblAlgn val="ctr"/>
        <c:lblOffset val="100"/>
        <c:noMultiLvlLbl val="0"/>
      </c:catAx>
      <c:valAx>
        <c:axId val="26444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44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2A-460E-8920-B38B4405754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2A-460E-8920-B38B4405754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2A-460E-8920-B38B4405754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2A-460E-8920-B38B4405754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2A-460E-8920-B38B4405754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2A-460E-8920-B38B4405754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2A-460E-8920-B38B44057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5875248"/>
        <c:axId val="259492880"/>
      </c:barChart>
      <c:catAx>
        <c:axId val="25587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9492880"/>
        <c:crosses val="autoZero"/>
        <c:auto val="1"/>
        <c:lblAlgn val="ctr"/>
        <c:lblOffset val="100"/>
        <c:noMultiLvlLbl val="0"/>
      </c:catAx>
      <c:valAx>
        <c:axId val="2594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5587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B8-42BF-9FD2-9172DE63A7E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B8-42BF-9FD2-9172DE63A7E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B8-42BF-9FD2-9172DE63A7E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B8-42BF-9FD2-9172DE63A7E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B8-42BF-9FD2-9172DE63A7E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B8-42BF-9FD2-9172DE63A7E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B8-42BF-9FD2-9172DE63A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918480"/>
        <c:axId val="480347872"/>
      </c:barChart>
      <c:catAx>
        <c:axId val="36891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0347872"/>
        <c:crosses val="autoZero"/>
        <c:auto val="1"/>
        <c:lblAlgn val="ctr"/>
        <c:lblOffset val="100"/>
        <c:noMultiLvlLbl val="0"/>
      </c:catAx>
      <c:valAx>
        <c:axId val="48034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9D-46A3-9CC3-97C45BE73CB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D-46A3-9CC3-97C45BE73CB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D-46A3-9CC3-97C45BE73CB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D-46A3-9CC3-97C45BE73CB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D-46A3-9CC3-97C45BE73CB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D-46A3-9CC3-97C45BE73CB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D-46A3-9CC3-97C45BE73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875680"/>
        <c:axId val="480347040"/>
      </c:barChart>
      <c:catAx>
        <c:axId val="370875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80347040"/>
        <c:crosses val="autoZero"/>
        <c:auto val="1"/>
        <c:lblAlgn val="ctr"/>
        <c:lblOffset val="100"/>
        <c:noMultiLvlLbl val="0"/>
      </c:catAx>
      <c:valAx>
        <c:axId val="4803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F-453B-87EF-DA893D770511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4F-453B-87EF-DA893D770511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4F-453B-87EF-DA893D770511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4F-453B-87EF-DA893D770511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4F-453B-87EF-DA893D770511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4F-453B-87EF-DA893D770511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4F-453B-87EF-DA893D770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0874432"/>
        <c:axId val="370874848"/>
      </c:barChart>
      <c:catAx>
        <c:axId val="37087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4848"/>
        <c:crosses val="autoZero"/>
        <c:auto val="1"/>
        <c:lblAlgn val="ctr"/>
        <c:lblOffset val="100"/>
        <c:noMultiLvlLbl val="0"/>
      </c:catAx>
      <c:valAx>
        <c:axId val="37087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0-497F-A403-E672D6858B2C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40-497F-A403-E672D6858B2C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40-497F-A403-E672D6858B2C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40-497F-A403-E672D6858B2C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40-497F-A403-E672D6858B2C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40-497F-A403-E672D6858B2C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40-497F-A403-E672D6858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004992"/>
        <c:axId val="370873184"/>
      </c:barChart>
      <c:catAx>
        <c:axId val="33400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3184"/>
        <c:crosses val="autoZero"/>
        <c:auto val="1"/>
        <c:lblAlgn val="ctr"/>
        <c:lblOffset val="100"/>
        <c:noMultiLvlLbl val="0"/>
      </c:catAx>
      <c:valAx>
        <c:axId val="37087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004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15-44E2-99C5-A615D959D33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15-44E2-99C5-A615D959D33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15-44E2-99C5-A615D959D33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15-44E2-99C5-A615D959D33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15-44E2-99C5-A615D959D33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15-44E2-99C5-A615D959D33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15-44E2-99C5-A615D959D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6411456"/>
        <c:axId val="370872352"/>
      </c:barChart>
      <c:catAx>
        <c:axId val="36641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0872352"/>
        <c:crosses val="autoZero"/>
        <c:auto val="1"/>
        <c:lblAlgn val="ctr"/>
        <c:lblOffset val="100"/>
        <c:noMultiLvlLbl val="0"/>
      </c:catAx>
      <c:valAx>
        <c:axId val="37087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41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E9-48F7-B689-F9ACE320586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E9-48F7-B689-F9ACE320586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E9-48F7-B689-F9ACE320586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E9-48F7-B689-F9ACE320586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E9-48F7-B689-F9ACE320586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E9-48F7-B689-F9ACE320586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E9-48F7-B689-F9ACE3205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6410208"/>
        <c:axId val="366410624"/>
      </c:barChart>
      <c:catAx>
        <c:axId val="36641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410624"/>
        <c:crosses val="autoZero"/>
        <c:auto val="1"/>
        <c:lblAlgn val="ctr"/>
        <c:lblOffset val="100"/>
        <c:noMultiLvlLbl val="0"/>
      </c:catAx>
      <c:valAx>
        <c:axId val="3664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41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AE-4940-A0C0-2CFD2176B8C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AE-4940-A0C0-2CFD2176B8C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AE-4940-A0C0-2CFD2176B8C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AE-4940-A0C0-2CFD2176B8C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7AE-4940-A0C0-2CFD2176B8C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7AE-4940-A0C0-2CFD2176B8C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7AE-4940-A0C0-2CFD2176B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918896"/>
        <c:axId val="368919312"/>
      </c:barChart>
      <c:catAx>
        <c:axId val="36891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9312"/>
        <c:crosses val="autoZero"/>
        <c:auto val="1"/>
        <c:lblAlgn val="ctr"/>
        <c:lblOffset val="100"/>
        <c:noMultiLvlLbl val="0"/>
      </c:catAx>
      <c:valAx>
        <c:axId val="36891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8D-4929-9B46-61BA5119FE3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8D-4929-9B46-61BA5119FE3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8D-4929-9B46-61BA5119FE3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8D-4929-9B46-61BA5119FE3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8D-4929-9B46-61BA5119FE3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8D-4929-9B46-61BA5119FE3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8D-4929-9B46-61BA5119F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6327888"/>
        <c:axId val="368917648"/>
      </c:barChart>
      <c:catAx>
        <c:axId val="33632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7648"/>
        <c:crosses val="autoZero"/>
        <c:auto val="1"/>
        <c:lblAlgn val="ctr"/>
        <c:lblOffset val="100"/>
        <c:noMultiLvlLbl val="0"/>
      </c:catAx>
      <c:valAx>
        <c:axId val="36891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632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65-4B79-9F1C-CA17D35FFC6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65-4B79-9F1C-CA17D35FFC6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65-4B79-9F1C-CA17D35FFC6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65-4B79-9F1C-CA17D35FFC6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65-4B79-9F1C-CA17D35FFC6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65-4B79-9F1C-CA17D35FFC6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65-4B79-9F1C-CA17D35FF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916400"/>
        <c:axId val="368916816"/>
      </c:barChart>
      <c:catAx>
        <c:axId val="36891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6816"/>
        <c:crosses val="autoZero"/>
        <c:auto val="1"/>
        <c:lblAlgn val="ctr"/>
        <c:lblOffset val="100"/>
        <c:noMultiLvlLbl val="0"/>
      </c:catAx>
      <c:valAx>
        <c:axId val="36891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91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A5-43B5-AE15-BDAE3EEB1ACB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A5-43B5-AE15-BDAE3EEB1ACB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A5-43B5-AE15-BDAE3EEB1ACB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A5-43B5-AE15-BDAE3EEB1ACB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A5-43B5-AE15-BDAE3EEB1ACB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A5-43B5-AE15-BDAE3EEB1ACB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A5-43B5-AE15-BDAE3EEB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809696"/>
        <c:axId val="328810112"/>
      </c:barChart>
      <c:catAx>
        <c:axId val="32880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810112"/>
        <c:crosses val="autoZero"/>
        <c:auto val="1"/>
        <c:lblAlgn val="ctr"/>
        <c:lblOffset val="100"/>
        <c:noMultiLvlLbl val="0"/>
      </c:catAx>
      <c:valAx>
        <c:axId val="3288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8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31-4675-9A99-8D342A62CEF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31-4675-9A99-8D342A62CEF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31-4675-9A99-8D342A62CEF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831-4675-9A99-8D342A62CEF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831-4675-9A99-8D342A62CEF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831-4675-9A99-8D342A62CEF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31-4675-9A99-8D342A62C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46464"/>
        <c:axId val="434364544"/>
      </c:barChart>
      <c:catAx>
        <c:axId val="36864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4544"/>
        <c:crosses val="autoZero"/>
        <c:auto val="1"/>
        <c:lblAlgn val="ctr"/>
        <c:lblOffset val="100"/>
        <c:noMultiLvlLbl val="0"/>
      </c:catAx>
      <c:valAx>
        <c:axId val="43436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646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1-44B3-B2F1-C7B8FC468FF6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71-44B3-B2F1-C7B8FC468FF6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71-44B3-B2F1-C7B8FC468FF6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71-44B3-B2F1-C7B8FC468FF6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71-44B3-B2F1-C7B8FC468FF6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71-44B3-B2F1-C7B8FC468FF6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71-44B3-B2F1-C7B8FC468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363296"/>
        <c:axId val="434363712"/>
      </c:barChart>
      <c:catAx>
        <c:axId val="43436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3712"/>
        <c:crosses val="autoZero"/>
        <c:auto val="1"/>
        <c:lblAlgn val="ctr"/>
        <c:lblOffset val="100"/>
        <c:noMultiLvlLbl val="0"/>
      </c:catAx>
      <c:valAx>
        <c:axId val="43436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4-4504-9405-381DE414DDB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4-4504-9405-381DE414DDB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4-4504-9405-381DE414DDB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04-4504-9405-381DE414DDB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04-4504-9405-381DE414DDB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04-4504-9405-381DE414DDB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04-4504-9405-381DE414D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362048"/>
        <c:axId val="434362464"/>
      </c:barChart>
      <c:catAx>
        <c:axId val="43436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2464"/>
        <c:crosses val="autoZero"/>
        <c:auto val="1"/>
        <c:lblAlgn val="ctr"/>
        <c:lblOffset val="100"/>
        <c:noMultiLvlLbl val="0"/>
      </c:catAx>
      <c:valAx>
        <c:axId val="43436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43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F5-42E2-B435-DC8BC0D7A09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5-42E2-B435-DC8BC0D7A09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F5-42E2-B435-DC8BC0D7A09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F5-42E2-B435-DC8BC0D7A09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F5-42E2-B435-DC8BC0D7A09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F5-42E2-B435-DC8BC0D7A09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F5-42E2-B435-DC8BC0D7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05328"/>
        <c:axId val="364474368"/>
      </c:barChart>
      <c:catAx>
        <c:axId val="32760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4474368"/>
        <c:crosses val="autoZero"/>
        <c:auto val="1"/>
        <c:lblAlgn val="ctr"/>
        <c:lblOffset val="100"/>
        <c:noMultiLvlLbl val="0"/>
      </c:catAx>
      <c:valAx>
        <c:axId val="36447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60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C5E-B7F4-E187C3163BB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C5E-B7F4-E187C3163BB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C5E-B7F4-E187C3163BB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79-4C5E-B7F4-E187C3163BB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79-4C5E-B7F4-E187C3163BB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79-4C5E-B7F4-E187C3163BB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79-4C5E-B7F4-E187C3163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315360"/>
        <c:axId val="364473536"/>
      </c:barChart>
      <c:catAx>
        <c:axId val="32131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4473536"/>
        <c:crosses val="autoZero"/>
        <c:auto val="1"/>
        <c:lblAlgn val="ctr"/>
        <c:lblOffset val="100"/>
        <c:noMultiLvlLbl val="0"/>
      </c:catAx>
      <c:valAx>
        <c:axId val="36447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131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D-4636-9550-72386A5A4E23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DD-4636-9550-72386A5A4E23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DD-4636-9550-72386A5A4E23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DD-4636-9550-72386A5A4E23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DD-4636-9550-72386A5A4E23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DD-4636-9550-72386A5A4E23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DD-4636-9550-72386A5A4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1314112"/>
        <c:axId val="321314528"/>
      </c:barChart>
      <c:catAx>
        <c:axId val="32131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1314528"/>
        <c:crosses val="autoZero"/>
        <c:auto val="1"/>
        <c:lblAlgn val="ctr"/>
        <c:lblOffset val="100"/>
        <c:noMultiLvlLbl val="0"/>
      </c:catAx>
      <c:valAx>
        <c:axId val="3213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131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3-4F73-94AD-BD14103786D1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3-4F73-94AD-BD14103786D1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F3-4F73-94AD-BD14103786D1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F3-4F73-94AD-BD14103786D1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F3-4F73-94AD-BD14103786D1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F3-4F73-94AD-BD14103786D1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F3-4F73-94AD-BD1410378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8646880"/>
        <c:axId val="368647296"/>
      </c:barChart>
      <c:catAx>
        <c:axId val="36864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647296"/>
        <c:crosses val="autoZero"/>
        <c:auto val="1"/>
        <c:lblAlgn val="ctr"/>
        <c:lblOffset val="100"/>
        <c:noMultiLvlLbl val="0"/>
      </c:catAx>
      <c:valAx>
        <c:axId val="36864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864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1-4786-AA61-4C57C218431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41-4786-AA61-4C57C218431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41-4786-AA61-4C57C218431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41-4786-AA61-4C57C218431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41-4786-AA61-4C57C218431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41-4786-AA61-4C57C218431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41-4786-AA61-4C57C2184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275472"/>
        <c:axId val="231237568"/>
      </c:barChart>
      <c:catAx>
        <c:axId val="33127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1237568"/>
        <c:crosses val="autoZero"/>
        <c:auto val="1"/>
        <c:lblAlgn val="ctr"/>
        <c:lblOffset val="100"/>
        <c:noMultiLvlLbl val="0"/>
      </c:catAx>
      <c:valAx>
        <c:axId val="2312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127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DE-42B8-A9B8-DBB7558ADC5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DE-42B8-A9B8-DBB7558ADC5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DE-42B8-A9B8-DBB7558ADC5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DE-42B8-A9B8-DBB7558ADC5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DE-42B8-A9B8-DBB7558ADC5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DE-42B8-A9B8-DBB7558ADC5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DE-42B8-A9B8-DBB7558AD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05744"/>
        <c:axId val="327606160"/>
      </c:barChart>
      <c:catAx>
        <c:axId val="32760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606160"/>
        <c:crosses val="autoZero"/>
        <c:auto val="1"/>
        <c:lblAlgn val="ctr"/>
        <c:lblOffset val="100"/>
        <c:noMultiLvlLbl val="0"/>
      </c:catAx>
      <c:valAx>
        <c:axId val="32760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60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6-484F-A529-DDDFB353B61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6-484F-A529-DDDFB353B61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16-484F-A529-DDDFB353B61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16-484F-A529-DDDFB353B61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16-484F-A529-DDDFB353B61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16-484F-A529-DDDFB353B61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16-484F-A529-DDDFB353B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677616"/>
        <c:axId val="334678032"/>
      </c:barChart>
      <c:catAx>
        <c:axId val="334677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678032"/>
        <c:crosses val="autoZero"/>
        <c:auto val="1"/>
        <c:lblAlgn val="ctr"/>
        <c:lblOffset val="100"/>
        <c:noMultiLvlLbl val="0"/>
      </c:catAx>
      <c:valAx>
        <c:axId val="3346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67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C4-41F8-992E-3D1DDEE7F25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C4-41F8-992E-3D1DDEE7F25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C4-41F8-992E-3D1DDEE7F25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C4-41F8-992E-3D1DDEE7F25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C4-41F8-992E-3D1DDEE7F25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C4-41F8-992E-3D1DDEE7F25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4-41F8-992E-3D1DDEE7F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004576"/>
        <c:axId val="327367904"/>
      </c:barChart>
      <c:catAx>
        <c:axId val="3340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367904"/>
        <c:crosses val="autoZero"/>
        <c:auto val="1"/>
        <c:lblAlgn val="ctr"/>
        <c:lblOffset val="100"/>
        <c:noMultiLvlLbl val="0"/>
      </c:catAx>
      <c:valAx>
        <c:axId val="32736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00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F7-44DA-AECE-388DA586709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F7-44DA-AECE-388DA586709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F7-44DA-AECE-388DA586709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F7-44DA-AECE-388DA586709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F7-44DA-AECE-388DA586709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F7-44DA-AECE-388DA586709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F7-44DA-AECE-388DA5867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366656"/>
        <c:axId val="327367072"/>
      </c:barChart>
      <c:catAx>
        <c:axId val="32736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367072"/>
        <c:crosses val="autoZero"/>
        <c:auto val="1"/>
        <c:lblAlgn val="ctr"/>
        <c:lblOffset val="100"/>
        <c:noMultiLvlLbl val="0"/>
      </c:catAx>
      <c:valAx>
        <c:axId val="3273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736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CC-4C1B-BC3B-701D2CF6AB88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CC-4C1B-BC3B-701D2CF6AB88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CC-4C1B-BC3B-701D2CF6AB88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CC-4C1B-BC3B-701D2CF6AB88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CC-4C1B-BC3B-701D2CF6AB88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4CC-4C1B-BC3B-701D2CF6AB88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CC-4C1B-BC3B-701D2CF6A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275888"/>
        <c:axId val="331276304"/>
      </c:barChart>
      <c:catAx>
        <c:axId val="33127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1276304"/>
        <c:crosses val="autoZero"/>
        <c:auto val="1"/>
        <c:lblAlgn val="ctr"/>
        <c:lblOffset val="100"/>
        <c:noMultiLvlLbl val="0"/>
      </c:catAx>
      <c:valAx>
        <c:axId val="33127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127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2-48B7-BF26-683142BBC4F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F2-48B7-BF26-683142BBC4F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F2-48B7-BF26-683142BBC4F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F2-48B7-BF26-683142BBC4F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F2-48B7-BF26-683142BBC4F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F2-48B7-BF26-683142BBC4F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F2-48B7-BF26-683142BBC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545408"/>
        <c:axId val="334311296"/>
      </c:barChart>
      <c:catAx>
        <c:axId val="36554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311296"/>
        <c:crosses val="autoZero"/>
        <c:auto val="1"/>
        <c:lblAlgn val="ctr"/>
        <c:lblOffset val="100"/>
        <c:noMultiLvlLbl val="0"/>
      </c:catAx>
      <c:valAx>
        <c:axId val="33431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5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79-413C-BBE6-882698F418A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79-413C-BBE6-882698F418A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79-413C-BBE6-882698F418A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79-413C-BBE6-882698F418A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79-413C-BBE6-882698F418A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79-413C-BBE6-882698F418A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79-413C-BBE6-882698F4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545824"/>
        <c:axId val="334310464"/>
      </c:barChart>
      <c:catAx>
        <c:axId val="3655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4310464"/>
        <c:crosses val="autoZero"/>
        <c:auto val="1"/>
        <c:lblAlgn val="ctr"/>
        <c:lblOffset val="100"/>
        <c:noMultiLvlLbl val="0"/>
      </c:catAx>
      <c:valAx>
        <c:axId val="33431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5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9-4486-AB07-F3441A93BA0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B9-4486-AB07-F3441A93BA0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B9-4486-AB07-F3441A93BA0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B9-4486-AB07-F3441A93BA0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B9-4486-AB07-F3441A93BA0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B9-4486-AB07-F3441A93BA0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B9-4486-AB07-F3441A93B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6797120"/>
        <c:axId val="365544576"/>
      </c:barChart>
      <c:catAx>
        <c:axId val="36679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544576"/>
        <c:crosses val="autoZero"/>
        <c:auto val="1"/>
        <c:lblAlgn val="ctr"/>
        <c:lblOffset val="100"/>
        <c:noMultiLvlLbl val="0"/>
      </c:catAx>
      <c:valAx>
        <c:axId val="36554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79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F-43E1-8205-FBC92AD6F81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F-43E1-8205-FBC92AD6F81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EF-43E1-8205-FBC92AD6F81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EF-43E1-8205-FBC92AD6F81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EF-43E1-8205-FBC92AD6F81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EF-43E1-8205-FBC92AD6F81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EF-43E1-8205-FBC92AD6F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643616"/>
        <c:axId val="366795872"/>
      </c:barChart>
      <c:catAx>
        <c:axId val="33364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6795872"/>
        <c:crosses val="autoZero"/>
        <c:auto val="1"/>
        <c:lblAlgn val="ctr"/>
        <c:lblOffset val="100"/>
        <c:noMultiLvlLbl val="0"/>
      </c:catAx>
      <c:valAx>
        <c:axId val="36679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3-41A0-9AD9-F1C12EF93DC6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63-41A0-9AD9-F1C12EF93DC6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63-41A0-9AD9-F1C12EF93DC6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63-41A0-9AD9-F1C12EF93DC6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63-41A0-9AD9-F1C12EF93DC6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63-41A0-9AD9-F1C12EF93DC6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63-41A0-9AD9-F1C12EF93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644032"/>
        <c:axId val="333644448"/>
      </c:barChart>
      <c:catAx>
        <c:axId val="33364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4448"/>
        <c:crosses val="autoZero"/>
        <c:auto val="1"/>
        <c:lblAlgn val="ctr"/>
        <c:lblOffset val="100"/>
        <c:noMultiLvlLbl val="0"/>
      </c:catAx>
      <c:valAx>
        <c:axId val="33364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4-454A-8C60-DABA568656D6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4-454A-8C60-DABA568656D6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4-454A-8C60-DABA568656D6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4-454A-8C60-DABA568656D6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4-454A-8C60-DABA568656D6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4-454A-8C60-DABA568656D6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34-454A-8C60-DABA56865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6328304"/>
        <c:axId val="336328720"/>
      </c:barChart>
      <c:catAx>
        <c:axId val="33632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6328720"/>
        <c:crosses val="autoZero"/>
        <c:auto val="1"/>
        <c:lblAlgn val="ctr"/>
        <c:lblOffset val="100"/>
        <c:noMultiLvlLbl val="0"/>
      </c:catAx>
      <c:valAx>
        <c:axId val="33632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632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D-4778-9C3F-F5D6698EAE94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6D-4778-9C3F-F5D6698EAE94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6D-4778-9C3F-F5D6698EAE94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6D-4778-9C3F-F5D6698EAE94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6D-4778-9C3F-F5D6698EAE94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6D-4778-9C3F-F5D6698EAE94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6D-4778-9C3F-F5D6698EA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739552"/>
        <c:axId val="326739968"/>
      </c:barChart>
      <c:catAx>
        <c:axId val="3267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739968"/>
        <c:crosses val="autoZero"/>
        <c:auto val="1"/>
        <c:lblAlgn val="ctr"/>
        <c:lblOffset val="100"/>
        <c:noMultiLvlLbl val="0"/>
      </c:catAx>
      <c:valAx>
        <c:axId val="32673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73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64-4D91-96CA-2363A4FD6295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4-4D91-96CA-2363A4FD6295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64-4D91-96CA-2363A4FD6295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64-4D91-96CA-2363A4FD6295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64-4D91-96CA-2363A4FD6295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64-4D91-96CA-2363A4FD6295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64-4D91-96CA-2363A4FD6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16144"/>
        <c:axId val="324316560"/>
      </c:barChart>
      <c:catAx>
        <c:axId val="32431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6560"/>
        <c:crosses val="autoZero"/>
        <c:auto val="1"/>
        <c:lblAlgn val="ctr"/>
        <c:lblOffset val="100"/>
        <c:noMultiLvlLbl val="0"/>
      </c:catAx>
      <c:valAx>
        <c:axId val="32431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C-40DE-BD5A-6DAFB0708FC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CC-40DE-BD5A-6DAFB0708FC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CC-40DE-BD5A-6DAFB0708FC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CC-40DE-BD5A-6DAFB0708FC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CC-40DE-BD5A-6DAFB0708FC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CC-40DE-BD5A-6DAFB0708FC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CC-40DE-BD5A-6DAFB0708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35344"/>
        <c:axId val="226386032"/>
      </c:barChart>
      <c:catAx>
        <c:axId val="26013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6386032"/>
        <c:crosses val="autoZero"/>
        <c:auto val="1"/>
        <c:lblAlgn val="ctr"/>
        <c:lblOffset val="100"/>
        <c:noMultiLvlLbl val="0"/>
      </c:catAx>
      <c:valAx>
        <c:axId val="22638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3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BB-43E0-B122-BD9D98C57EF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BB-43E0-B122-BD9D98C57EF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BB-43E0-B122-BD9D98C57EF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BB-43E0-B122-BD9D98C57EF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DBB-43E0-B122-BD9D98C57EF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DBB-43E0-B122-BD9D98C57EF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DBB-43E0-B122-BD9D98C57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4318608"/>
        <c:axId val="324319024"/>
      </c:barChart>
      <c:catAx>
        <c:axId val="32431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9024"/>
        <c:crosses val="autoZero"/>
        <c:auto val="1"/>
        <c:lblAlgn val="ctr"/>
        <c:lblOffset val="100"/>
        <c:noMultiLvlLbl val="0"/>
      </c:catAx>
      <c:valAx>
        <c:axId val="32431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33-4378-BF39-7D9C8EB4227E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33-4378-BF39-7D9C8EB4227E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33-4378-BF39-7D9C8EB4227E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33-4378-BF39-7D9C8EB4227E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33-4378-BF39-7D9C8EB4227E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33-4378-BF39-7D9C8EB4227E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33-4378-BF39-7D9C8EB42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361472"/>
        <c:axId val="324317776"/>
      </c:barChart>
      <c:catAx>
        <c:axId val="36536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4317776"/>
        <c:crosses val="autoZero"/>
        <c:auto val="1"/>
        <c:lblAlgn val="ctr"/>
        <c:lblOffset val="100"/>
        <c:noMultiLvlLbl val="0"/>
      </c:catAx>
      <c:valAx>
        <c:axId val="32431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36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F-4BA9-9ADE-5D7D205B397A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F-4BA9-9ADE-5D7D205B397A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F-4BA9-9ADE-5D7D205B397A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F-4BA9-9ADE-5D7D205B397A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F-4BA9-9ADE-5D7D205B397A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BF-4BA9-9ADE-5D7D205B397A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BF-4BA9-9ADE-5D7D205B3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360224"/>
        <c:axId val="365360640"/>
      </c:barChart>
      <c:catAx>
        <c:axId val="36536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360640"/>
        <c:crosses val="autoZero"/>
        <c:auto val="1"/>
        <c:lblAlgn val="ctr"/>
        <c:lblOffset val="100"/>
        <c:noMultiLvlLbl val="0"/>
      </c:catAx>
      <c:valAx>
        <c:axId val="36536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6536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E-49F0-BA84-CD63333A3CE7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BE-49F0-BA84-CD63333A3CE7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E-49F0-BA84-CD63333A3CE7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E-49F0-BA84-CD63333A3CE7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BE-49F0-BA84-CD63333A3CE7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BE-49F0-BA84-CD63333A3CE7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BE-49F0-BA84-CD63333A3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807872"/>
        <c:axId val="333808288"/>
      </c:barChart>
      <c:catAx>
        <c:axId val="333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808288"/>
        <c:crosses val="autoZero"/>
        <c:auto val="1"/>
        <c:lblAlgn val="ctr"/>
        <c:lblOffset val="100"/>
        <c:noMultiLvlLbl val="0"/>
      </c:catAx>
      <c:valAx>
        <c:axId val="33380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0-489B-B2AB-D9E2FF533179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60-489B-B2AB-D9E2FF533179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60-489B-B2AB-D9E2FF533179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60-489B-B2AB-D9E2FF533179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60-489B-B2AB-D9E2FF533179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60-489B-B2AB-D9E2FF533179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60-489B-B2AB-D9E2FF533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49440"/>
        <c:axId val="326649856"/>
      </c:barChart>
      <c:catAx>
        <c:axId val="3266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49856"/>
        <c:crosses val="autoZero"/>
        <c:auto val="1"/>
        <c:lblAlgn val="ctr"/>
        <c:lblOffset val="100"/>
        <c:noMultiLvlLbl val="0"/>
      </c:catAx>
      <c:valAx>
        <c:axId val="32664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1-4DFA-9A7C-3B812E8C852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1-4DFA-9A7C-3B812E8C852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1-4DFA-9A7C-3B812E8C852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1-4DFA-9A7C-3B812E8C852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1-4DFA-9A7C-3B812E8C852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1-4DFA-9A7C-3B812E8C852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D1-4DFA-9A7C-3B812E8C8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624160"/>
        <c:axId val="328624576"/>
      </c:barChart>
      <c:catAx>
        <c:axId val="32862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624576"/>
        <c:crosses val="autoZero"/>
        <c:auto val="1"/>
        <c:lblAlgn val="ctr"/>
        <c:lblOffset val="100"/>
        <c:noMultiLvlLbl val="0"/>
      </c:catAx>
      <c:valAx>
        <c:axId val="32862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62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6D-42D6-9E32-054D0CA987B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6D-42D6-9E32-054D0CA987B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6D-42D6-9E32-054D0CA987B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6D-42D6-9E32-054D0CA987B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6D-42D6-9E32-054D0CA987B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6D-42D6-9E32-054D0CA987B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6D-42D6-9E32-054D0CA98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3644864"/>
        <c:axId val="328623328"/>
      </c:barChart>
      <c:catAx>
        <c:axId val="33364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8623328"/>
        <c:crosses val="autoZero"/>
        <c:auto val="1"/>
        <c:lblAlgn val="ctr"/>
        <c:lblOffset val="100"/>
        <c:noMultiLvlLbl val="0"/>
      </c:catAx>
      <c:valAx>
        <c:axId val="32862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3364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BD-4057-BDBF-D853EF9C117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BD-4057-BDBF-D853EF9C117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BD-4057-BDBF-D853EF9C117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BD-4057-BDBF-D853EF9C117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BD-4057-BDBF-D853EF9C117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BD-4057-BDBF-D853EF9C117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BD-4057-BDBF-D853EF9C1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6386448"/>
        <c:axId val="226386864"/>
      </c:barChart>
      <c:catAx>
        <c:axId val="22638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6386864"/>
        <c:crosses val="autoZero"/>
        <c:auto val="1"/>
        <c:lblAlgn val="ctr"/>
        <c:lblOffset val="100"/>
        <c:noMultiLvlLbl val="0"/>
      </c:catAx>
      <c:valAx>
        <c:axId val="22638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638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37-42D7-ABD1-C1A408511D38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37-42D7-ABD1-C1A408511D38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37-42D7-ABD1-C1A408511D38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37-42D7-ABD1-C1A408511D38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37-42D7-ABD1-C1A408511D38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37-42D7-ABD1-C1A408511D38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37-42D7-ABD1-C1A408511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4572432"/>
        <c:axId val="264572848"/>
      </c:barChart>
      <c:catAx>
        <c:axId val="2645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572848"/>
        <c:crosses val="autoZero"/>
        <c:auto val="1"/>
        <c:lblAlgn val="ctr"/>
        <c:lblOffset val="100"/>
        <c:noMultiLvlLbl val="0"/>
      </c:catAx>
      <c:valAx>
        <c:axId val="26457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457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5B-4661-9B78-F0328822A78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5B-4661-9B78-F0328822A78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5B-4661-9B78-F0328822A78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5B-4661-9B78-F0328822A78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5B-4661-9B78-F0328822A78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5B-4661-9B78-F0328822A78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5B-4661-9B78-F0328822A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15856"/>
        <c:axId val="260943968"/>
      </c:barChart>
      <c:catAx>
        <c:axId val="26011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943968"/>
        <c:crosses val="autoZero"/>
        <c:auto val="1"/>
        <c:lblAlgn val="ctr"/>
        <c:lblOffset val="100"/>
        <c:noMultiLvlLbl val="0"/>
      </c:catAx>
      <c:valAx>
        <c:axId val="2609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1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7-4B4F-837C-9819AE852342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A7-4B4F-837C-9819AE852342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A7-4B4F-837C-9819AE852342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A7-4B4F-837C-9819AE852342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A7-4B4F-837C-9819AE852342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A7-4B4F-837C-9819AE852342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A7-4B4F-837C-9819AE852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98624"/>
        <c:axId val="326699040"/>
      </c:barChart>
      <c:catAx>
        <c:axId val="32669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99040"/>
        <c:crosses val="autoZero"/>
        <c:auto val="1"/>
        <c:lblAlgn val="ctr"/>
        <c:lblOffset val="100"/>
        <c:noMultiLvlLbl val="0"/>
      </c:catAx>
      <c:valAx>
        <c:axId val="32669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9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B-4D22-97AD-4E9D88095D10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6B-4D22-97AD-4E9D88095D10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6B-4D22-97AD-4E9D88095D10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6B-4D22-97AD-4E9D88095D10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6B-4D22-97AD-4E9D88095D10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6B-4D22-97AD-4E9D88095D10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6B-4D22-97AD-4E9D88095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2640800"/>
        <c:axId val="326696128"/>
      </c:barChart>
      <c:catAx>
        <c:axId val="26264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26696128"/>
        <c:crosses val="autoZero"/>
        <c:auto val="1"/>
        <c:lblAlgn val="ctr"/>
        <c:lblOffset val="100"/>
        <c:noMultiLvlLbl val="0"/>
      </c:catAx>
      <c:valAx>
        <c:axId val="32669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264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4-4526-AFA9-A4A8783C391C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4-4526-AFA9-A4A8783C391C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4-4526-AFA9-A4A8783C391C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4-4526-AFA9-A4A8783C391C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14-4526-AFA9-A4A8783C391C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14-4526-AFA9-A4A8783C391C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14-4526-AFA9-A4A8783C3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8316640"/>
        <c:axId val="228316224"/>
      </c:barChart>
      <c:catAx>
        <c:axId val="228316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8316224"/>
        <c:crosses val="autoZero"/>
        <c:auto val="1"/>
        <c:lblAlgn val="ctr"/>
        <c:lblOffset val="100"/>
        <c:noMultiLvlLbl val="0"/>
      </c:catAx>
      <c:valAx>
        <c:axId val="22831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831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36-4154-8303-F81678EFB57F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36-4154-8303-F81678EFB57F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36-4154-8303-F81678EFB57F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36-4154-8303-F81678EFB57F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36-4154-8303-F81678EFB57F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36-4154-8303-F81678EFB57F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36-4154-8303-F81678EFB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117936"/>
        <c:axId val="260117520"/>
      </c:barChart>
      <c:catAx>
        <c:axId val="26011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17520"/>
        <c:crosses val="autoZero"/>
        <c:auto val="1"/>
        <c:lblAlgn val="ctr"/>
        <c:lblOffset val="100"/>
        <c:noMultiLvlLbl val="0"/>
      </c:catAx>
      <c:valAx>
        <c:axId val="26011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11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CARROTANQUE!$C$1:$C$6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Estación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CARROTANQUE!$C$7:$C$16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8D7-98F6-B44F0F8AEF7D}"/>
            </c:ext>
          </c:extLst>
        </c:ser>
        <c:ser>
          <c:idx val="1"/>
          <c:order val="1"/>
          <c:tx>
            <c:strRef>
              <c:f>CARROTANQUE!$D$1:$D$6</c:f>
              <c:strCache>
                <c:ptCount val="6"/>
                <c:pt idx="0">
                  <c:v>PROGRAMA ANALITO CARROTANQUES</c:v>
                </c:pt>
                <c:pt idx="2">
                  <c:v>INGRESO</c:v>
                </c:pt>
                <c:pt idx="4">
                  <c:v>CPF1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CARROTANQUE!$D$7:$D$16</c:f>
              <c:numCache>
                <c:formatCode>General</c:formatCode>
                <c:ptCount val="10"/>
                <c:pt idx="0">
                  <c:v>6216</c:v>
                </c:pt>
                <c:pt idx="2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8D7-98F6-B44F0F8AEF7D}"/>
            </c:ext>
          </c:extLst>
        </c:ser>
        <c:ser>
          <c:idx val="2"/>
          <c:order val="2"/>
          <c:tx>
            <c:strRef>
              <c:f>CARROTANQUE!$E$1:$E$6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CPF1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CARROTANQUE!$E$7:$E$16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8D7-98F6-B44F0F8AEF7D}"/>
            </c:ext>
          </c:extLst>
        </c:ser>
        <c:ser>
          <c:idx val="3"/>
          <c:order val="3"/>
          <c:tx>
            <c:strRef>
              <c:f>CARROTANQUE!$F$1:$F$6</c:f>
              <c:strCache>
                <c:ptCount val="6"/>
                <c:pt idx="0">
                  <c:v>PROGRAMA ANALITO CARROTANQUES</c:v>
                </c:pt>
                <c:pt idx="2">
                  <c:v>ELABORADO</c:v>
                </c:pt>
                <c:pt idx="4">
                  <c:v>Lugar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CARROTANQUE!$F$7:$F$16</c:f>
              <c:numCache>
                <c:formatCode>General</c:formatCode>
                <c:ptCount val="10"/>
                <c:pt idx="2">
                  <c:v>916148</c:v>
                </c:pt>
                <c:pt idx="3" formatCode="0.0">
                  <c:v>0</c:v>
                </c:pt>
                <c:pt idx="6" formatCode="0.000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8D7-98F6-B44F0F8AEF7D}"/>
            </c:ext>
          </c:extLst>
        </c:ser>
        <c:ser>
          <c:idx val="4"/>
          <c:order val="4"/>
          <c:tx>
            <c:strRef>
              <c:f>CARROTANQUE!$G$1:$G$6</c:f>
              <c:strCache>
                <c:ptCount val="6"/>
                <c:pt idx="0">
                  <c:v>PROGRAMA ANALITO CARROTANQUES</c:v>
                </c:pt>
                <c:pt idx="2">
                  <c:v>16/03/2017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CARROTANQUE!$G$7:$G$16</c:f>
              <c:numCache>
                <c:formatCode>0.000</c:formatCode>
                <c:ptCount val="10"/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8D7-98F6-B44F0F8AEF7D}"/>
            </c:ext>
          </c:extLst>
        </c:ser>
        <c:ser>
          <c:idx val="5"/>
          <c:order val="5"/>
          <c:tx>
            <c:strRef>
              <c:f>CARROTANQUE!$H$1:$H$6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CARROTANQUE!$H$7:$H$16</c:f>
              <c:numCache>
                <c:formatCode>0.000</c:formatCode>
                <c:ptCount val="10"/>
                <c:pt idx="3" formatCode="0.0000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8D7-98F6-B44F0F8AEF7D}"/>
            </c:ext>
          </c:extLst>
        </c:ser>
        <c:ser>
          <c:idx val="6"/>
          <c:order val="6"/>
          <c:tx>
            <c:strRef>
              <c:f>CARROTANQUE!$I$1:$I$6</c:f>
              <c:strCache>
                <c:ptCount val="6"/>
                <c:pt idx="0">
                  <c:v>PROGRAMA ANALITO CARROTANQUES</c:v>
                </c:pt>
                <c:pt idx="2">
                  <c:v>VERSIÓN 0,71</c:v>
                </c:pt>
                <c:pt idx="4">
                  <c:v>PUERTO GAITAN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CARROTANQUE!$A$7:$B$16</c:f>
              <c:multiLvlStrCache>
                <c:ptCount val="8"/>
                <c:lvl>
                  <c:pt idx="0">
                    <c:v>16/08/2019</c:v>
                  </c:pt>
                </c:lvl>
                <c:lvl>
                  <c:pt idx="0">
                    <c:v>Fecha</c:v>
                  </c:pt>
                  <c:pt idx="1">
                    <c:v>Temp Lab F</c:v>
                  </c:pt>
                  <c:pt idx="2">
                    <c:v>API Norma</c:v>
                  </c:pt>
                  <c:pt idx="3">
                    <c:v>API</c:v>
                  </c:pt>
                  <c:pt idx="4">
                    <c:v>Observado</c:v>
                  </c:pt>
                  <c:pt idx="5">
                    <c:v>KARL FISCHER Norma</c:v>
                  </c:pt>
                  <c:pt idx="6">
                    <c:v>Peso </c:v>
                  </c:pt>
                  <c:pt idx="7">
                    <c:v>Muestra g</c:v>
                  </c:pt>
                </c:lvl>
              </c:multiLvlStrCache>
            </c:multiLvlStrRef>
          </c:cat>
          <c:val>
            <c:numRef>
              <c:f>CARROTANQUE!$I$7:$I$16</c:f>
              <c:numCache>
                <c:formatCode>0.000</c:formatCode>
                <c:ptCount val="10"/>
                <c:pt idx="2" formatCode="General">
                  <c:v>13160</c:v>
                </c:pt>
                <c:pt idx="5" formatCode="General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8D7-98F6-B44F0F8AE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0943552"/>
        <c:axId val="260941888"/>
      </c:barChart>
      <c:catAx>
        <c:axId val="26094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941888"/>
        <c:crosses val="autoZero"/>
        <c:auto val="1"/>
        <c:lblAlgn val="ctr"/>
        <c:lblOffset val="100"/>
        <c:noMultiLvlLbl val="0"/>
      </c:catAx>
      <c:valAx>
        <c:axId val="26094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6094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chart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chart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chart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chart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chart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chart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chart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chart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chart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chart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chart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chart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chart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chart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chart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chart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chart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chart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chart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6.xml"/></Relationships>
</file>

<file path=xl/chart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7.xml"/></Relationships>
</file>

<file path=xl/chart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8.xml"/></Relationships>
</file>

<file path=xl/chart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9.xml"/></Relationships>
</file>

<file path=xl/chart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chart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Gráfico1"/>
  <sheetViews>
    <sheetView zoomScale="7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ico2"/>
  <sheetViews>
    <sheetView zoomScale="7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ico3"/>
  <sheetViews>
    <sheetView zoomScale="7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Gráfico4"/>
  <sheetViews>
    <sheetView zoomScale="7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5"/>
  <sheetViews>
    <sheetView zoomScale="7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6"/>
  <sheetViews>
    <sheetView zoomScale="7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7"/>
  <sheetViews>
    <sheetView zoomScale="7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8"/>
  <sheetViews>
    <sheetView zoomScale="7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Gráfico9"/>
  <sheetViews>
    <sheetView zoomScale="7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Gráfico10"/>
  <sheetViews>
    <sheetView zoomScale="7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Gráfico11"/>
  <sheetViews>
    <sheetView zoomScale="7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Gráfico12"/>
  <sheetViews>
    <sheetView zoomScale="7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Gráfico13"/>
  <sheetViews>
    <sheetView zoomScale="7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Gráfico14"/>
  <sheetViews>
    <sheetView zoomScale="7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Gráfico15"/>
  <sheetViews>
    <sheetView zoomScale="7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400-000000000000}">
  <sheetPr codeName="Gráfico16"/>
  <sheetViews>
    <sheetView zoomScale="72" workbookViewId="0" zoomToFit="1"/>
  </sheetViews>
  <pageMargins left="0.7" right="0.7" top="0.75" bottom="0.75" header="0.3" footer="0.3"/>
  <drawing r:id="rId1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Gráfico17"/>
  <sheetViews>
    <sheetView zoomScale="72" workbookViewId="0" zoomToFit="1"/>
  </sheetViews>
  <pageMargins left="0.7" right="0.7" top="0.75" bottom="0.75" header="0.3" footer="0.3"/>
  <drawing r:id="rId1"/>
</chartsheet>
</file>

<file path=xl/chartsheets/sheet1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600-000000000000}">
  <sheetPr codeName="Gráfico18"/>
  <sheetViews>
    <sheetView zoomScale="72" workbookViewId="0" zoomToFit="1"/>
  </sheetViews>
  <pageMargins left="0.7" right="0.7" top="0.75" bottom="0.75" header="0.3" footer="0.3"/>
  <drawing r:id="rId1"/>
</chartsheet>
</file>

<file path=xl/chartsheets/sheet1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Gráfico19"/>
  <sheetViews>
    <sheetView zoomScale="72" workbookViewId="0" zoomToFit="1"/>
  </sheetViews>
  <pageMargins left="0.7" right="0.7" top="0.75" bottom="0.75" header="0.3" footer="0.3"/>
  <drawing r:id="rId1"/>
</chartsheet>
</file>

<file path=xl/chartsheets/sheet2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800-000000000000}">
  <sheetPr codeName="Gráfico20"/>
  <sheetViews>
    <sheetView zoomScale="72" workbookViewId="0" zoomToFit="1"/>
  </sheetViews>
  <pageMargins left="0.7" right="0.7" top="0.75" bottom="0.75" header="0.3" footer="0.3"/>
  <drawing r:id="rId1"/>
</chartsheet>
</file>

<file path=xl/chartsheets/sheet2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900-000000000000}">
  <sheetPr codeName="Gráfico21"/>
  <sheetViews>
    <sheetView zoomScale="72" workbookViewId="0" zoomToFit="1"/>
  </sheetViews>
  <pageMargins left="0.7" right="0.7" top="0.75" bottom="0.75" header="0.3" footer="0.3"/>
  <drawing r:id="rId1"/>
</chartsheet>
</file>

<file path=xl/chartsheets/sheet2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Gráfico22"/>
  <sheetViews>
    <sheetView zoomScale="72" workbookViewId="0" zoomToFit="1"/>
  </sheetViews>
  <pageMargins left="0.7" right="0.7" top="0.75" bottom="0.75" header="0.3" footer="0.3"/>
  <drawing r:id="rId1"/>
</chartsheet>
</file>

<file path=xl/chartsheets/sheet2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Gráfico23"/>
  <sheetViews>
    <sheetView zoomScale="72" workbookViewId="0" zoomToFit="1"/>
  </sheetViews>
  <pageMargins left="0.7" right="0.7" top="0.75" bottom="0.75" header="0.3" footer="0.3"/>
  <drawing r:id="rId1"/>
</chartsheet>
</file>

<file path=xl/chartsheets/sheet2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Gráfico24"/>
  <sheetViews>
    <sheetView zoomScale="72" workbookViewId="0" zoomToFit="1"/>
  </sheetViews>
  <pageMargins left="0.7" right="0.7" top="0.75" bottom="0.75" header="0.3" footer="0.3"/>
  <drawing r:id="rId1"/>
</chartsheet>
</file>

<file path=xl/chartsheets/sheet2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D00-000000000000}">
  <sheetPr codeName="Gráfico25"/>
  <sheetViews>
    <sheetView zoomScale="72" workbookViewId="0" zoomToFit="1"/>
  </sheetViews>
  <pageMargins left="0.7" right="0.7" top="0.75" bottom="0.75" header="0.3" footer="0.3"/>
  <drawing r:id="rId1"/>
</chartsheet>
</file>

<file path=xl/chartsheets/sheet2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E00-000000000000}">
  <sheetPr codeName="Gráfico26"/>
  <sheetViews>
    <sheetView zoomScale="72" workbookViewId="0" zoomToFit="1"/>
  </sheetViews>
  <pageMargins left="0.7" right="0.7" top="0.75" bottom="0.75" header="0.3" footer="0.3"/>
  <drawing r:id="rId1"/>
</chartsheet>
</file>

<file path=xl/chartsheets/sheet2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F00-000000000000}">
  <sheetPr codeName="Gráfico27"/>
  <sheetViews>
    <sheetView zoomScale="72" workbookViewId="0" zoomToFit="1"/>
  </sheetViews>
  <pageMargins left="0.7" right="0.7" top="0.75" bottom="0.75" header="0.3" footer="0.3"/>
  <drawing r:id="rId1"/>
</chartsheet>
</file>

<file path=xl/chartsheets/sheet2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Gráfico28"/>
  <sheetViews>
    <sheetView zoomScale="72" workbookViewId="0" zoomToFit="1"/>
  </sheetViews>
  <pageMargins left="0.7" right="0.7" top="0.75" bottom="0.75" header="0.3" footer="0.3"/>
  <drawing r:id="rId1"/>
</chartsheet>
</file>

<file path=xl/chartsheets/sheet2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100-000000000000}">
  <sheetPr codeName="Gráfico29"/>
  <sheetViews>
    <sheetView zoomScale="72" workbookViewId="0" zoomToFit="1"/>
  </sheetViews>
  <pageMargins left="0.7" right="0.7" top="0.75" bottom="0.75" header="0.3" footer="0.3"/>
  <drawing r:id="rId1"/>
</chartsheet>
</file>

<file path=xl/chartsheets/sheet3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200-000000000000}">
  <sheetPr codeName="Gráfico30"/>
  <sheetViews>
    <sheetView zoomScale="72" workbookViewId="0" zoomToFit="1"/>
  </sheetViews>
  <pageMargins left="0.7" right="0.7" top="0.75" bottom="0.75" header="0.3" footer="0.3"/>
  <drawing r:id="rId1"/>
</chartsheet>
</file>

<file path=xl/chartsheets/sheet3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300-000000000000}">
  <sheetPr codeName="Gráfico31"/>
  <sheetViews>
    <sheetView zoomScale="72" workbookViewId="0" zoomToFit="1"/>
  </sheetViews>
  <pageMargins left="0.7" right="0.7" top="0.75" bottom="0.75" header="0.3" footer="0.3"/>
  <drawing r:id="rId1"/>
</chartsheet>
</file>

<file path=xl/chartsheets/sheet3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Gráfico32"/>
  <sheetViews>
    <sheetView zoomScale="72" workbookViewId="0" zoomToFit="1"/>
  </sheetViews>
  <pageMargins left="0.7" right="0.7" top="0.75" bottom="0.75" header="0.3" footer="0.3"/>
  <drawing r:id="rId1"/>
</chartsheet>
</file>

<file path=xl/chartsheets/sheet3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500-000000000000}">
  <sheetPr codeName="Gráfico33"/>
  <sheetViews>
    <sheetView zoomScale="72" workbookViewId="0" zoomToFit="1"/>
  </sheetViews>
  <pageMargins left="0.7" right="0.7" top="0.75" bottom="0.75" header="0.3" footer="0.3"/>
  <drawing r:id="rId1"/>
</chartsheet>
</file>

<file path=xl/chartsheets/sheet3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600-000000000000}">
  <sheetPr codeName="Gráfico34"/>
  <sheetViews>
    <sheetView zoomScale="72" workbookViewId="0" zoomToFit="1"/>
  </sheetViews>
  <pageMargins left="0.7" right="0.7" top="0.75" bottom="0.75" header="0.3" footer="0.3"/>
  <drawing r:id="rId1"/>
</chartsheet>
</file>

<file path=xl/chartsheets/sheet3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700-000000000000}">
  <sheetPr codeName="Gráfico35"/>
  <sheetViews>
    <sheetView zoomScale="72" workbookViewId="0" zoomToFit="1"/>
  </sheetViews>
  <pageMargins left="0.7" right="0.7" top="0.75" bottom="0.75" header="0.3" footer="0.3"/>
  <drawing r:id="rId1"/>
</chartsheet>
</file>

<file path=xl/chartsheets/sheet3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800-000000000000}">
  <sheetPr codeName="Gráfico36"/>
  <sheetViews>
    <sheetView zoomScale="72" workbookViewId="0" zoomToFit="1"/>
  </sheetViews>
  <pageMargins left="0.7" right="0.7" top="0.75" bottom="0.75" header="0.3" footer="0.3"/>
  <drawing r:id="rId1"/>
</chartsheet>
</file>

<file path=xl/chartsheets/sheet3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900-000000000000}">
  <sheetPr codeName="Gráfico37"/>
  <sheetViews>
    <sheetView zoomScale="72" workbookViewId="0" zoomToFit="1"/>
  </sheetViews>
  <pageMargins left="0.7" right="0.7" top="0.75" bottom="0.75" header="0.3" footer="0.3"/>
  <drawing r:id="rId1"/>
</chartsheet>
</file>

<file path=xl/chartsheets/sheet3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A00-000000000000}">
  <sheetPr codeName="Gráfico38"/>
  <sheetViews>
    <sheetView zoomScale="72" workbookViewId="0" zoomToFit="1"/>
  </sheetViews>
  <pageMargins left="0.7" right="0.7" top="0.75" bottom="0.75" header="0.3" footer="0.3"/>
  <drawing r:id="rId1"/>
</chartsheet>
</file>

<file path=xl/chartsheets/sheet3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B00-000000000000}">
  <sheetPr codeName="Gráfico39"/>
  <sheetViews>
    <sheetView zoomScale="72" workbookViewId="0" zoomToFit="1"/>
  </sheetViews>
  <pageMargins left="0.7" right="0.7" top="0.75" bottom="0.75" header="0.3" footer="0.3"/>
  <drawing r:id="rId1"/>
</chartsheet>
</file>

<file path=xl/chartsheets/sheet4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C00-000000000000}">
  <sheetPr codeName="Gráfico40"/>
  <sheetViews>
    <sheetView zoomScale="72" workbookViewId="0" zoomToFit="1"/>
  </sheetViews>
  <pageMargins left="0.7" right="0.7" top="0.75" bottom="0.75" header="0.3" footer="0.3"/>
  <drawing r:id="rId1"/>
</chartsheet>
</file>

<file path=xl/chartsheets/sheet4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D00-000000000000}">
  <sheetPr codeName="Gráfico41"/>
  <sheetViews>
    <sheetView zoomScale="72" workbookViewId="0" zoomToFit="1"/>
  </sheetViews>
  <pageMargins left="0.7" right="0.7" top="0.75" bottom="0.75" header="0.3" footer="0.3"/>
  <drawing r:id="rId1"/>
</chartsheet>
</file>

<file path=xl/chartsheets/sheet4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E00-000000000000}">
  <sheetPr codeName="Gráfico42"/>
  <sheetViews>
    <sheetView zoomScale="72" workbookViewId="0" zoomToFit="1"/>
  </sheetViews>
  <pageMargins left="0.7" right="0.7" top="0.75" bottom="0.75" header="0.3" footer="0.3"/>
  <drawing r:id="rId1"/>
</chartsheet>
</file>

<file path=xl/chartsheets/sheet4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F00-000000000000}">
  <sheetPr codeName="Gráfico43"/>
  <sheetViews>
    <sheetView zoomScale="72" workbookViewId="0" zoomToFit="1"/>
  </sheetViews>
  <pageMargins left="0.7" right="0.7" top="0.75" bottom="0.75" header="0.3" footer="0.3"/>
  <drawing r:id="rId1"/>
</chartsheet>
</file>

<file path=xl/chartsheets/sheet4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000-000000000000}">
  <sheetPr codeName="Gráfico44"/>
  <sheetViews>
    <sheetView zoomScale="72" workbookViewId="0" zoomToFit="1"/>
  </sheetViews>
  <pageMargins left="0.7" right="0.7" top="0.75" bottom="0.75" header="0.3" footer="0.3"/>
  <drawing r:id="rId1"/>
</chartsheet>
</file>

<file path=xl/chartsheets/sheet4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100-000000000000}">
  <sheetPr codeName="Gráfico45"/>
  <sheetViews>
    <sheetView zoomScale="72" workbookViewId="0" zoomToFit="1"/>
  </sheetViews>
  <pageMargins left="0.7" right="0.7" top="0.75" bottom="0.75" header="0.3" footer="0.3"/>
  <drawing r:id="rId1"/>
</chartsheet>
</file>

<file path=xl/chartsheets/sheet4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200-000000000000}">
  <sheetPr codeName="Gráfico46"/>
  <sheetViews>
    <sheetView zoomScale="72" workbookViewId="0" zoomToFit="1"/>
  </sheetViews>
  <pageMargins left="0.7" right="0.7" top="0.75" bottom="0.75" header="0.3" footer="0.3"/>
  <drawing r:id="rId1"/>
</chartsheet>
</file>

<file path=xl/chartsheets/sheet4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300-000000000000}">
  <sheetPr codeName="Gráfico47"/>
  <sheetViews>
    <sheetView zoomScale="72" workbookViewId="0" zoomToFit="1"/>
  </sheetViews>
  <pageMargins left="0.7" right="0.7" top="0.75" bottom="0.75" header="0.3" footer="0.3"/>
  <drawing r:id="rId1"/>
</chartsheet>
</file>

<file path=xl/chartsheets/sheet4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400-000000000000}">
  <sheetPr codeName="Gráfico48"/>
  <sheetViews>
    <sheetView zoomScale="72" workbookViewId="0" zoomToFit="1"/>
  </sheetViews>
  <pageMargins left="0.7" right="0.7" top="0.75" bottom="0.75" header="0.3" footer="0.3"/>
  <drawing r:id="rId1"/>
</chartsheet>
</file>

<file path=xl/chartsheets/sheet4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500-000000000000}">
  <sheetPr codeName="Gráfico49"/>
  <sheetViews>
    <sheetView zoomScale="72" workbookViewId="0" zoomToFit="1"/>
  </sheetViews>
  <pageMargins left="0.7" right="0.7" top="0.75" bottom="0.75" header="0.3" footer="0.3"/>
  <drawing r:id="rId1"/>
</chartsheet>
</file>

<file path=xl/chartsheets/sheet5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600-000000000000}">
  <sheetPr codeName="Gráfico50"/>
  <sheetViews>
    <sheetView zoomScale="72" workbookViewId="0" zoomToFit="1"/>
  </sheetViews>
  <pageMargins left="0.7" right="0.7" top="0.75" bottom="0.75" header="0.3" footer="0.3"/>
  <drawing r:id="rId1"/>
</chartsheet>
</file>

<file path=xl/chartsheets/sheet5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700-000000000000}">
  <sheetPr codeName="Gráfico51"/>
  <sheetViews>
    <sheetView zoomScale="72" workbookViewId="0" zoomToFit="1"/>
  </sheetViews>
  <pageMargins left="0.7" right="0.7" top="0.75" bottom="0.75" header="0.3" footer="0.3"/>
  <drawing r:id="rId1"/>
</chartsheet>
</file>

<file path=xl/chartsheets/sheet5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800-000000000000}">
  <sheetPr codeName="Gráfico52"/>
  <sheetViews>
    <sheetView zoomScale="72" workbookViewId="0" zoomToFit="1"/>
  </sheetViews>
  <pageMargins left="0.7" right="0.7" top="0.75" bottom="0.75" header="0.3" footer="0.3"/>
  <drawing r:id="rId1"/>
</chartsheet>
</file>

<file path=xl/chartsheets/sheet5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900-000000000000}">
  <sheetPr codeName="Gráfico53"/>
  <sheetViews>
    <sheetView zoomScale="72" workbookViewId="0" zoomToFit="1"/>
  </sheetViews>
  <pageMargins left="0.7" right="0.7" top="0.75" bottom="0.75" header="0.3" footer="0.3"/>
  <drawing r:id="rId1"/>
</chartsheet>
</file>

<file path=xl/chartsheets/sheet5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A00-000000000000}">
  <sheetPr codeName="Gráfico54"/>
  <sheetViews>
    <sheetView zoomScale="72" workbookViewId="0" zoomToFit="1"/>
  </sheetViews>
  <pageMargins left="0.7" right="0.7" top="0.75" bottom="0.75" header="0.3" footer="0.3"/>
  <drawing r:id="rId1"/>
</chartsheet>
</file>

<file path=xl/chartsheets/sheet5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B00-000000000000}">
  <sheetPr codeName="Gráfico55"/>
  <sheetViews>
    <sheetView zoomScale="72" workbookViewId="0" zoomToFit="1"/>
  </sheetViews>
  <pageMargins left="0.7" right="0.7" top="0.75" bottom="0.75" header="0.3" footer="0.3"/>
  <drawing r:id="rId1"/>
</chartsheet>
</file>

<file path=xl/chartsheets/sheet5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C00-000000000000}">
  <sheetPr codeName="Gráfico56"/>
  <sheetViews>
    <sheetView zoomScale="72" workbookViewId="0" zoomToFit="1"/>
  </sheetViews>
  <pageMargins left="0.7" right="0.7" top="0.75" bottom="0.75" header="0.3" footer="0.3"/>
  <drawing r:id="rId1"/>
</chartsheet>
</file>

<file path=xl/chartsheets/sheet5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3D00-000000000000}">
  <sheetPr codeName="Gráfico57"/>
  <sheetViews>
    <sheetView zoomScale="7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$Q$6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$P$10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checked="Checked" firstButton="1" fmlaLink="$Q$6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fmlaLink="$P$10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266700</xdr:colOff>
      <xdr:row>5</xdr:row>
      <xdr:rowOff>38100</xdr:rowOff>
    </xdr:from>
    <xdr:to>
      <xdr:col>25</xdr:col>
      <xdr:colOff>409575</xdr:colOff>
      <xdr:row>29</xdr:row>
      <xdr:rowOff>38100</xdr:rowOff>
    </xdr:to>
    <xdr:graphicFrame macro="">
      <xdr:nvGraphicFramePr>
        <xdr:cNvPr id="2" name="Gráfico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66675</xdr:colOff>
      <xdr:row>0</xdr:row>
      <xdr:rowOff>152400</xdr:rowOff>
    </xdr:from>
    <xdr:to>
      <xdr:col>1</xdr:col>
      <xdr:colOff>714375</xdr:colOff>
      <xdr:row>2</xdr:row>
      <xdr:rowOff>114300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52400"/>
          <a:ext cx="1409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76201</xdr:rowOff>
    </xdr:from>
    <xdr:to>
      <xdr:col>1</xdr:col>
      <xdr:colOff>971550</xdr:colOff>
      <xdr:row>4</xdr:row>
      <xdr:rowOff>110767</xdr:rowOff>
    </xdr:to>
    <xdr:pic>
      <xdr:nvPicPr>
        <xdr:cNvPr id="2" name="Imagen 1" descr="cid:image001.png@01D27F3C.F3FC4FD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6" y="76201"/>
          <a:ext cx="1343024" cy="615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180975</xdr:rowOff>
        </xdr:from>
        <xdr:to>
          <xdr:col>11</xdr:col>
          <xdr:colOff>171450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228600</xdr:rowOff>
        </xdr:from>
        <xdr:to>
          <xdr:col>11</xdr:col>
          <xdr:colOff>381000</xdr:colOff>
          <xdr:row>9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Tabla 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219075</xdr:rowOff>
        </xdr:from>
        <xdr:to>
          <xdr:col>11</xdr:col>
          <xdr:colOff>409575</xdr:colOff>
          <xdr:row>11</xdr:row>
          <xdr:rowOff>28575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Tabla 5B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66675</xdr:rowOff>
        </xdr:from>
        <xdr:to>
          <xdr:col>11</xdr:col>
          <xdr:colOff>95250</xdr:colOff>
          <xdr:row>5</xdr:row>
          <xdr:rowOff>85725</xdr:rowOff>
        </xdr:to>
        <xdr:grpSp>
          <xdr:nvGrpSpPr>
            <xdr:cNvPr id="3" name="Grup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001996" y="66675"/>
              <a:ext cx="847725" cy="825874"/>
              <a:chOff x="7000875" y="66675"/>
              <a:chExt cx="847725" cy="809624"/>
            </a:xfrm>
          </xdr:grpSpPr>
          <xdr:sp macro="" textlink="">
            <xdr:nvSpPr>
              <xdr:cNvPr id="1038" name="Group Box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200-00000E040000}"/>
                  </a:ext>
                </a:extLst>
              </xdr:cNvPr>
              <xdr:cNvSpPr/>
            </xdr:nvSpPr>
            <xdr:spPr bwMode="auto">
              <a:xfrm>
                <a:off x="7000875" y="66675"/>
                <a:ext cx="847725" cy="8096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ESTACIÓN</a:t>
                </a:r>
              </a:p>
            </xdr:txBody>
          </xdr:sp>
          <xdr:sp macro="" textlink="">
            <xdr:nvSpPr>
              <xdr:cNvPr id="1039" name="Option Button 15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200-00000F040000}"/>
                  </a:ext>
                </a:extLst>
              </xdr:cNvPr>
              <xdr:cNvSpPr/>
            </xdr:nvSpPr>
            <xdr:spPr bwMode="auto">
              <a:xfrm>
                <a:off x="7058025" y="219075"/>
                <a:ext cx="73342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CPF1</a:t>
                </a:r>
              </a:p>
            </xdr:txBody>
          </xdr:sp>
          <xdr:sp macro="" textlink="">
            <xdr:nvSpPr>
              <xdr:cNvPr id="1042" name="Option 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200-000012040000}"/>
                  </a:ext>
                </a:extLst>
              </xdr:cNvPr>
              <xdr:cNvSpPr/>
            </xdr:nvSpPr>
            <xdr:spPr bwMode="auto">
              <a:xfrm>
                <a:off x="7067550" y="542925"/>
                <a:ext cx="5238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CPF2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161926</xdr:colOff>
      <xdr:row>1</xdr:row>
      <xdr:rowOff>76200</xdr:rowOff>
    </xdr:from>
    <xdr:to>
      <xdr:col>3</xdr:col>
      <xdr:colOff>600076</xdr:colOff>
      <xdr:row>4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1" y="219075"/>
          <a:ext cx="1962150" cy="771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0</xdr:row>
      <xdr:rowOff>76201</xdr:rowOff>
    </xdr:from>
    <xdr:to>
      <xdr:col>1</xdr:col>
      <xdr:colOff>971550</xdr:colOff>
      <xdr:row>4</xdr:row>
      <xdr:rowOff>110767</xdr:rowOff>
    </xdr:to>
    <xdr:pic>
      <xdr:nvPicPr>
        <xdr:cNvPr id="2" name="Imagen 1" descr="cid:image001.png@01D27F3C.F3FC4FD0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6" y="76201"/>
          <a:ext cx="1343024" cy="615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2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4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6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7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8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0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3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66676</xdr:rowOff>
    </xdr:from>
    <xdr:to>
      <xdr:col>1</xdr:col>
      <xdr:colOff>762000</xdr:colOff>
      <xdr:row>4</xdr:row>
      <xdr:rowOff>101242</xdr:rowOff>
    </xdr:to>
    <xdr:pic>
      <xdr:nvPicPr>
        <xdr:cNvPr id="2" name="Imagen 1" descr="cid:image001.png@01D27F3C.F3FC4FD0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1" y="66676"/>
          <a:ext cx="1428749" cy="615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5</xdr:row>
          <xdr:rowOff>171450</xdr:rowOff>
        </xdr:from>
        <xdr:to>
          <xdr:col>13</xdr:col>
          <xdr:colOff>76200</xdr:colOff>
          <xdr:row>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E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7</xdr:row>
          <xdr:rowOff>228600</xdr:rowOff>
        </xdr:from>
        <xdr:to>
          <xdr:col>13</xdr:col>
          <xdr:colOff>381000</xdr:colOff>
          <xdr:row>9</xdr:row>
          <xdr:rowOff>19050</xdr:rowOff>
        </xdr:to>
        <xdr:sp macro="" textlink="">
          <xdr:nvSpPr>
            <xdr:cNvPr id="5122" name="Option 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3E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Tabla 5A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219075</xdr:rowOff>
        </xdr:from>
        <xdr:to>
          <xdr:col>13</xdr:col>
          <xdr:colOff>409575</xdr:colOff>
          <xdr:row>11</xdr:row>
          <xdr:rowOff>28575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3E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Tabla 5B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66675</xdr:rowOff>
        </xdr:from>
        <xdr:to>
          <xdr:col>11</xdr:col>
          <xdr:colOff>95250</xdr:colOff>
          <xdr:row>5</xdr:row>
          <xdr:rowOff>85725</xdr:rowOff>
        </xdr:to>
        <xdr:grpSp>
          <xdr:nvGrpSpPr>
            <xdr:cNvPr id="6" name="Grupo 5">
              <a:extLst>
                <a:ext uri="{FF2B5EF4-FFF2-40B4-BE49-F238E27FC236}">
                  <a16:creationId xmlns:a16="http://schemas.microsoft.com/office/drawing/2014/main" id="{00000000-0008-0000-3E00-000006000000}"/>
                </a:ext>
              </a:extLst>
            </xdr:cNvPr>
            <xdr:cNvGrpSpPr/>
          </xdr:nvGrpSpPr>
          <xdr:grpSpPr>
            <a:xfrm>
              <a:off x="6665817" y="66675"/>
              <a:ext cx="752475" cy="825874"/>
              <a:chOff x="7000627" y="66675"/>
              <a:chExt cx="847725" cy="809623"/>
            </a:xfrm>
          </xdr:grpSpPr>
          <xdr:sp macro="" textlink="">
            <xdr:nvSpPr>
              <xdr:cNvPr id="5124" name="Group Box 4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3E00-000004140000}"/>
                  </a:ext>
                </a:extLst>
              </xdr:cNvPr>
              <xdr:cNvSpPr/>
            </xdr:nvSpPr>
            <xdr:spPr bwMode="auto">
              <a:xfrm>
                <a:off x="7000627" y="66675"/>
                <a:ext cx="847725" cy="8096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ESTACIÓN</a:t>
                </a:r>
              </a:p>
            </xdr:txBody>
          </xdr:sp>
          <xdr:sp macro="" textlink="">
            <xdr:nvSpPr>
              <xdr:cNvPr id="5125" name="Option Button 5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3E00-000005140000}"/>
                  </a:ext>
                </a:extLst>
              </xdr:cNvPr>
              <xdr:cNvSpPr/>
            </xdr:nvSpPr>
            <xdr:spPr bwMode="auto">
              <a:xfrm>
                <a:off x="7058027" y="219075"/>
                <a:ext cx="733425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CPF1</a:t>
                </a:r>
              </a:p>
            </xdr:txBody>
          </xdr:sp>
          <xdr:sp macro="" textlink="">
            <xdr:nvSpPr>
              <xdr:cNvPr id="5126" name="Option Button 6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3E00-000006140000}"/>
                  </a:ext>
                </a:extLst>
              </xdr:cNvPr>
              <xdr:cNvSpPr/>
            </xdr:nvSpPr>
            <xdr:spPr bwMode="auto">
              <a:xfrm>
                <a:off x="7067550" y="542925"/>
                <a:ext cx="523875" cy="2286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s-CO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CPF2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161926</xdr:colOff>
      <xdr:row>1</xdr:row>
      <xdr:rowOff>76200</xdr:rowOff>
    </xdr:from>
    <xdr:to>
      <xdr:col>3</xdr:col>
      <xdr:colOff>600076</xdr:colOff>
      <xdr:row>4</xdr:row>
      <xdr:rowOff>104775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1" y="219075"/>
          <a:ext cx="1962150" cy="7715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BY500"/>
  <sheetViews>
    <sheetView tabSelected="1" workbookViewId="0">
      <selection activeCell="H32" sqref="H32"/>
    </sheetView>
  </sheetViews>
  <sheetFormatPr baseColWidth="10" defaultRowHeight="12.75" x14ac:dyDescent="0.2"/>
  <cols>
    <col min="1" max="1" width="11.85546875" style="27" customWidth="1"/>
    <col min="2" max="13" width="11.5703125" style="27" customWidth="1"/>
    <col min="14" max="14" width="12.42578125" style="27" customWidth="1"/>
    <col min="15" max="15" width="11.85546875" style="26" hidden="1" customWidth="1"/>
    <col min="16" max="16" width="1" style="26" customWidth="1"/>
    <col min="17" max="17" width="0.85546875" style="26" customWidth="1"/>
    <col min="18" max="77" width="11.42578125" style="26"/>
    <col min="78" max="256" width="11.42578125" style="27"/>
    <col min="257" max="257" width="11.85546875" style="27" customWidth="1"/>
    <col min="258" max="269" width="11.5703125" style="27" customWidth="1"/>
    <col min="270" max="270" width="12.42578125" style="27" customWidth="1"/>
    <col min="271" max="271" width="11.85546875" style="27" customWidth="1"/>
    <col min="272" max="272" width="1" style="27" customWidth="1"/>
    <col min="273" max="273" width="0.85546875" style="27" customWidth="1"/>
    <col min="274" max="512" width="11.42578125" style="27"/>
    <col min="513" max="513" width="11.85546875" style="27" customWidth="1"/>
    <col min="514" max="525" width="11.5703125" style="27" customWidth="1"/>
    <col min="526" max="526" width="12.42578125" style="27" customWidth="1"/>
    <col min="527" max="527" width="11.85546875" style="27" customWidth="1"/>
    <col min="528" max="528" width="1" style="27" customWidth="1"/>
    <col min="529" max="529" width="0.85546875" style="27" customWidth="1"/>
    <col min="530" max="768" width="11.42578125" style="27"/>
    <col min="769" max="769" width="11.85546875" style="27" customWidth="1"/>
    <col min="770" max="781" width="11.5703125" style="27" customWidth="1"/>
    <col min="782" max="782" width="12.42578125" style="27" customWidth="1"/>
    <col min="783" max="783" width="11.85546875" style="27" customWidth="1"/>
    <col min="784" max="784" width="1" style="27" customWidth="1"/>
    <col min="785" max="785" width="0.85546875" style="27" customWidth="1"/>
    <col min="786" max="1024" width="11.42578125" style="27"/>
    <col min="1025" max="1025" width="11.85546875" style="27" customWidth="1"/>
    <col min="1026" max="1037" width="11.5703125" style="27" customWidth="1"/>
    <col min="1038" max="1038" width="12.42578125" style="27" customWidth="1"/>
    <col min="1039" max="1039" width="11.85546875" style="27" customWidth="1"/>
    <col min="1040" max="1040" width="1" style="27" customWidth="1"/>
    <col min="1041" max="1041" width="0.85546875" style="27" customWidth="1"/>
    <col min="1042" max="1280" width="11.42578125" style="27"/>
    <col min="1281" max="1281" width="11.85546875" style="27" customWidth="1"/>
    <col min="1282" max="1293" width="11.5703125" style="27" customWidth="1"/>
    <col min="1294" max="1294" width="12.42578125" style="27" customWidth="1"/>
    <col min="1295" max="1295" width="11.85546875" style="27" customWidth="1"/>
    <col min="1296" max="1296" width="1" style="27" customWidth="1"/>
    <col min="1297" max="1297" width="0.85546875" style="27" customWidth="1"/>
    <col min="1298" max="1536" width="11.42578125" style="27"/>
    <col min="1537" max="1537" width="11.85546875" style="27" customWidth="1"/>
    <col min="1538" max="1549" width="11.5703125" style="27" customWidth="1"/>
    <col min="1550" max="1550" width="12.42578125" style="27" customWidth="1"/>
    <col min="1551" max="1551" width="11.85546875" style="27" customWidth="1"/>
    <col min="1552" max="1552" width="1" style="27" customWidth="1"/>
    <col min="1553" max="1553" width="0.85546875" style="27" customWidth="1"/>
    <col min="1554" max="1792" width="11.42578125" style="27"/>
    <col min="1793" max="1793" width="11.85546875" style="27" customWidth="1"/>
    <col min="1794" max="1805" width="11.5703125" style="27" customWidth="1"/>
    <col min="1806" max="1806" width="12.42578125" style="27" customWidth="1"/>
    <col min="1807" max="1807" width="11.85546875" style="27" customWidth="1"/>
    <col min="1808" max="1808" width="1" style="27" customWidth="1"/>
    <col min="1809" max="1809" width="0.85546875" style="27" customWidth="1"/>
    <col min="1810" max="2048" width="11.42578125" style="27"/>
    <col min="2049" max="2049" width="11.85546875" style="27" customWidth="1"/>
    <col min="2050" max="2061" width="11.5703125" style="27" customWidth="1"/>
    <col min="2062" max="2062" width="12.42578125" style="27" customWidth="1"/>
    <col min="2063" max="2063" width="11.85546875" style="27" customWidth="1"/>
    <col min="2064" max="2064" width="1" style="27" customWidth="1"/>
    <col min="2065" max="2065" width="0.85546875" style="27" customWidth="1"/>
    <col min="2066" max="2304" width="11.42578125" style="27"/>
    <col min="2305" max="2305" width="11.85546875" style="27" customWidth="1"/>
    <col min="2306" max="2317" width="11.5703125" style="27" customWidth="1"/>
    <col min="2318" max="2318" width="12.42578125" style="27" customWidth="1"/>
    <col min="2319" max="2319" width="11.85546875" style="27" customWidth="1"/>
    <col min="2320" max="2320" width="1" style="27" customWidth="1"/>
    <col min="2321" max="2321" width="0.85546875" style="27" customWidth="1"/>
    <col min="2322" max="2560" width="11.42578125" style="27"/>
    <col min="2561" max="2561" width="11.85546875" style="27" customWidth="1"/>
    <col min="2562" max="2573" width="11.5703125" style="27" customWidth="1"/>
    <col min="2574" max="2574" width="12.42578125" style="27" customWidth="1"/>
    <col min="2575" max="2575" width="11.85546875" style="27" customWidth="1"/>
    <col min="2576" max="2576" width="1" style="27" customWidth="1"/>
    <col min="2577" max="2577" width="0.85546875" style="27" customWidth="1"/>
    <col min="2578" max="2816" width="11.42578125" style="27"/>
    <col min="2817" max="2817" width="11.85546875" style="27" customWidth="1"/>
    <col min="2818" max="2829" width="11.5703125" style="27" customWidth="1"/>
    <col min="2830" max="2830" width="12.42578125" style="27" customWidth="1"/>
    <col min="2831" max="2831" width="11.85546875" style="27" customWidth="1"/>
    <col min="2832" max="2832" width="1" style="27" customWidth="1"/>
    <col min="2833" max="2833" width="0.85546875" style="27" customWidth="1"/>
    <col min="2834" max="3072" width="11.42578125" style="27"/>
    <col min="3073" max="3073" width="11.85546875" style="27" customWidth="1"/>
    <col min="3074" max="3085" width="11.5703125" style="27" customWidth="1"/>
    <col min="3086" max="3086" width="12.42578125" style="27" customWidth="1"/>
    <col min="3087" max="3087" width="11.85546875" style="27" customWidth="1"/>
    <col min="3088" max="3088" width="1" style="27" customWidth="1"/>
    <col min="3089" max="3089" width="0.85546875" style="27" customWidth="1"/>
    <col min="3090" max="3328" width="11.42578125" style="27"/>
    <col min="3329" max="3329" width="11.85546875" style="27" customWidth="1"/>
    <col min="3330" max="3341" width="11.5703125" style="27" customWidth="1"/>
    <col min="3342" max="3342" width="12.42578125" style="27" customWidth="1"/>
    <col min="3343" max="3343" width="11.85546875" style="27" customWidth="1"/>
    <col min="3344" max="3344" width="1" style="27" customWidth="1"/>
    <col min="3345" max="3345" width="0.85546875" style="27" customWidth="1"/>
    <col min="3346" max="3584" width="11.42578125" style="27"/>
    <col min="3585" max="3585" width="11.85546875" style="27" customWidth="1"/>
    <col min="3586" max="3597" width="11.5703125" style="27" customWidth="1"/>
    <col min="3598" max="3598" width="12.42578125" style="27" customWidth="1"/>
    <col min="3599" max="3599" width="11.85546875" style="27" customWidth="1"/>
    <col min="3600" max="3600" width="1" style="27" customWidth="1"/>
    <col min="3601" max="3601" width="0.85546875" style="27" customWidth="1"/>
    <col min="3602" max="3840" width="11.42578125" style="27"/>
    <col min="3841" max="3841" width="11.85546875" style="27" customWidth="1"/>
    <col min="3842" max="3853" width="11.5703125" style="27" customWidth="1"/>
    <col min="3854" max="3854" width="12.42578125" style="27" customWidth="1"/>
    <col min="3855" max="3855" width="11.85546875" style="27" customWidth="1"/>
    <col min="3856" max="3856" width="1" style="27" customWidth="1"/>
    <col min="3857" max="3857" width="0.85546875" style="27" customWidth="1"/>
    <col min="3858" max="4096" width="11.42578125" style="27"/>
    <col min="4097" max="4097" width="11.85546875" style="27" customWidth="1"/>
    <col min="4098" max="4109" width="11.5703125" style="27" customWidth="1"/>
    <col min="4110" max="4110" width="12.42578125" style="27" customWidth="1"/>
    <col min="4111" max="4111" width="11.85546875" style="27" customWidth="1"/>
    <col min="4112" max="4112" width="1" style="27" customWidth="1"/>
    <col min="4113" max="4113" width="0.85546875" style="27" customWidth="1"/>
    <col min="4114" max="4352" width="11.42578125" style="27"/>
    <col min="4353" max="4353" width="11.85546875" style="27" customWidth="1"/>
    <col min="4354" max="4365" width="11.5703125" style="27" customWidth="1"/>
    <col min="4366" max="4366" width="12.42578125" style="27" customWidth="1"/>
    <col min="4367" max="4367" width="11.85546875" style="27" customWidth="1"/>
    <col min="4368" max="4368" width="1" style="27" customWidth="1"/>
    <col min="4369" max="4369" width="0.85546875" style="27" customWidth="1"/>
    <col min="4370" max="4608" width="11.42578125" style="27"/>
    <col min="4609" max="4609" width="11.85546875" style="27" customWidth="1"/>
    <col min="4610" max="4621" width="11.5703125" style="27" customWidth="1"/>
    <col min="4622" max="4622" width="12.42578125" style="27" customWidth="1"/>
    <col min="4623" max="4623" width="11.85546875" style="27" customWidth="1"/>
    <col min="4624" max="4624" width="1" style="27" customWidth="1"/>
    <col min="4625" max="4625" width="0.85546875" style="27" customWidth="1"/>
    <col min="4626" max="4864" width="11.42578125" style="27"/>
    <col min="4865" max="4865" width="11.85546875" style="27" customWidth="1"/>
    <col min="4866" max="4877" width="11.5703125" style="27" customWidth="1"/>
    <col min="4878" max="4878" width="12.42578125" style="27" customWidth="1"/>
    <col min="4879" max="4879" width="11.85546875" style="27" customWidth="1"/>
    <col min="4880" max="4880" width="1" style="27" customWidth="1"/>
    <col min="4881" max="4881" width="0.85546875" style="27" customWidth="1"/>
    <col min="4882" max="5120" width="11.42578125" style="27"/>
    <col min="5121" max="5121" width="11.85546875" style="27" customWidth="1"/>
    <col min="5122" max="5133" width="11.5703125" style="27" customWidth="1"/>
    <col min="5134" max="5134" width="12.42578125" style="27" customWidth="1"/>
    <col min="5135" max="5135" width="11.85546875" style="27" customWidth="1"/>
    <col min="5136" max="5136" width="1" style="27" customWidth="1"/>
    <col min="5137" max="5137" width="0.85546875" style="27" customWidth="1"/>
    <col min="5138" max="5376" width="11.42578125" style="27"/>
    <col min="5377" max="5377" width="11.85546875" style="27" customWidth="1"/>
    <col min="5378" max="5389" width="11.5703125" style="27" customWidth="1"/>
    <col min="5390" max="5390" width="12.42578125" style="27" customWidth="1"/>
    <col min="5391" max="5391" width="11.85546875" style="27" customWidth="1"/>
    <col min="5392" max="5392" width="1" style="27" customWidth="1"/>
    <col min="5393" max="5393" width="0.85546875" style="27" customWidth="1"/>
    <col min="5394" max="5632" width="11.42578125" style="27"/>
    <col min="5633" max="5633" width="11.85546875" style="27" customWidth="1"/>
    <col min="5634" max="5645" width="11.5703125" style="27" customWidth="1"/>
    <col min="5646" max="5646" width="12.42578125" style="27" customWidth="1"/>
    <col min="5647" max="5647" width="11.85546875" style="27" customWidth="1"/>
    <col min="5648" max="5648" width="1" style="27" customWidth="1"/>
    <col min="5649" max="5649" width="0.85546875" style="27" customWidth="1"/>
    <col min="5650" max="5888" width="11.42578125" style="27"/>
    <col min="5889" max="5889" width="11.85546875" style="27" customWidth="1"/>
    <col min="5890" max="5901" width="11.5703125" style="27" customWidth="1"/>
    <col min="5902" max="5902" width="12.42578125" style="27" customWidth="1"/>
    <col min="5903" max="5903" width="11.85546875" style="27" customWidth="1"/>
    <col min="5904" max="5904" width="1" style="27" customWidth="1"/>
    <col min="5905" max="5905" width="0.85546875" style="27" customWidth="1"/>
    <col min="5906" max="6144" width="11.42578125" style="27"/>
    <col min="6145" max="6145" width="11.85546875" style="27" customWidth="1"/>
    <col min="6146" max="6157" width="11.5703125" style="27" customWidth="1"/>
    <col min="6158" max="6158" width="12.42578125" style="27" customWidth="1"/>
    <col min="6159" max="6159" width="11.85546875" style="27" customWidth="1"/>
    <col min="6160" max="6160" width="1" style="27" customWidth="1"/>
    <col min="6161" max="6161" width="0.85546875" style="27" customWidth="1"/>
    <col min="6162" max="6400" width="11.42578125" style="27"/>
    <col min="6401" max="6401" width="11.85546875" style="27" customWidth="1"/>
    <col min="6402" max="6413" width="11.5703125" style="27" customWidth="1"/>
    <col min="6414" max="6414" width="12.42578125" style="27" customWidth="1"/>
    <col min="6415" max="6415" width="11.85546875" style="27" customWidth="1"/>
    <col min="6416" max="6416" width="1" style="27" customWidth="1"/>
    <col min="6417" max="6417" width="0.85546875" style="27" customWidth="1"/>
    <col min="6418" max="6656" width="11.42578125" style="27"/>
    <col min="6657" max="6657" width="11.85546875" style="27" customWidth="1"/>
    <col min="6658" max="6669" width="11.5703125" style="27" customWidth="1"/>
    <col min="6670" max="6670" width="12.42578125" style="27" customWidth="1"/>
    <col min="6671" max="6671" width="11.85546875" style="27" customWidth="1"/>
    <col min="6672" max="6672" width="1" style="27" customWidth="1"/>
    <col min="6673" max="6673" width="0.85546875" style="27" customWidth="1"/>
    <col min="6674" max="6912" width="11.42578125" style="27"/>
    <col min="6913" max="6913" width="11.85546875" style="27" customWidth="1"/>
    <col min="6914" max="6925" width="11.5703125" style="27" customWidth="1"/>
    <col min="6926" max="6926" width="12.42578125" style="27" customWidth="1"/>
    <col min="6927" max="6927" width="11.85546875" style="27" customWidth="1"/>
    <col min="6928" max="6928" width="1" style="27" customWidth="1"/>
    <col min="6929" max="6929" width="0.85546875" style="27" customWidth="1"/>
    <col min="6930" max="7168" width="11.42578125" style="27"/>
    <col min="7169" max="7169" width="11.85546875" style="27" customWidth="1"/>
    <col min="7170" max="7181" width="11.5703125" style="27" customWidth="1"/>
    <col min="7182" max="7182" width="12.42578125" style="27" customWidth="1"/>
    <col min="7183" max="7183" width="11.85546875" style="27" customWidth="1"/>
    <col min="7184" max="7184" width="1" style="27" customWidth="1"/>
    <col min="7185" max="7185" width="0.85546875" style="27" customWidth="1"/>
    <col min="7186" max="7424" width="11.42578125" style="27"/>
    <col min="7425" max="7425" width="11.85546875" style="27" customWidth="1"/>
    <col min="7426" max="7437" width="11.5703125" style="27" customWidth="1"/>
    <col min="7438" max="7438" width="12.42578125" style="27" customWidth="1"/>
    <col min="7439" max="7439" width="11.85546875" style="27" customWidth="1"/>
    <col min="7440" max="7440" width="1" style="27" customWidth="1"/>
    <col min="7441" max="7441" width="0.85546875" style="27" customWidth="1"/>
    <col min="7442" max="7680" width="11.42578125" style="27"/>
    <col min="7681" max="7681" width="11.85546875" style="27" customWidth="1"/>
    <col min="7682" max="7693" width="11.5703125" style="27" customWidth="1"/>
    <col min="7694" max="7694" width="12.42578125" style="27" customWidth="1"/>
    <col min="7695" max="7695" width="11.85546875" style="27" customWidth="1"/>
    <col min="7696" max="7696" width="1" style="27" customWidth="1"/>
    <col min="7697" max="7697" width="0.85546875" style="27" customWidth="1"/>
    <col min="7698" max="7936" width="11.42578125" style="27"/>
    <col min="7937" max="7937" width="11.85546875" style="27" customWidth="1"/>
    <col min="7938" max="7949" width="11.5703125" style="27" customWidth="1"/>
    <col min="7950" max="7950" width="12.42578125" style="27" customWidth="1"/>
    <col min="7951" max="7951" width="11.85546875" style="27" customWidth="1"/>
    <col min="7952" max="7952" width="1" style="27" customWidth="1"/>
    <col min="7953" max="7953" width="0.85546875" style="27" customWidth="1"/>
    <col min="7954" max="8192" width="11.42578125" style="27"/>
    <col min="8193" max="8193" width="11.85546875" style="27" customWidth="1"/>
    <col min="8194" max="8205" width="11.5703125" style="27" customWidth="1"/>
    <col min="8206" max="8206" width="12.42578125" style="27" customWidth="1"/>
    <col min="8207" max="8207" width="11.85546875" style="27" customWidth="1"/>
    <col min="8208" max="8208" width="1" style="27" customWidth="1"/>
    <col min="8209" max="8209" width="0.85546875" style="27" customWidth="1"/>
    <col min="8210" max="8448" width="11.42578125" style="27"/>
    <col min="8449" max="8449" width="11.85546875" style="27" customWidth="1"/>
    <col min="8450" max="8461" width="11.5703125" style="27" customWidth="1"/>
    <col min="8462" max="8462" width="12.42578125" style="27" customWidth="1"/>
    <col min="8463" max="8463" width="11.85546875" style="27" customWidth="1"/>
    <col min="8464" max="8464" width="1" style="27" customWidth="1"/>
    <col min="8465" max="8465" width="0.85546875" style="27" customWidth="1"/>
    <col min="8466" max="8704" width="11.42578125" style="27"/>
    <col min="8705" max="8705" width="11.85546875" style="27" customWidth="1"/>
    <col min="8706" max="8717" width="11.5703125" style="27" customWidth="1"/>
    <col min="8718" max="8718" width="12.42578125" style="27" customWidth="1"/>
    <col min="8719" max="8719" width="11.85546875" style="27" customWidth="1"/>
    <col min="8720" max="8720" width="1" style="27" customWidth="1"/>
    <col min="8721" max="8721" width="0.85546875" style="27" customWidth="1"/>
    <col min="8722" max="8960" width="11.42578125" style="27"/>
    <col min="8961" max="8961" width="11.85546875" style="27" customWidth="1"/>
    <col min="8962" max="8973" width="11.5703125" style="27" customWidth="1"/>
    <col min="8974" max="8974" width="12.42578125" style="27" customWidth="1"/>
    <col min="8975" max="8975" width="11.85546875" style="27" customWidth="1"/>
    <col min="8976" max="8976" width="1" style="27" customWidth="1"/>
    <col min="8977" max="8977" width="0.85546875" style="27" customWidth="1"/>
    <col min="8978" max="9216" width="11.42578125" style="27"/>
    <col min="9217" max="9217" width="11.85546875" style="27" customWidth="1"/>
    <col min="9218" max="9229" width="11.5703125" style="27" customWidth="1"/>
    <col min="9230" max="9230" width="12.42578125" style="27" customWidth="1"/>
    <col min="9231" max="9231" width="11.85546875" style="27" customWidth="1"/>
    <col min="9232" max="9232" width="1" style="27" customWidth="1"/>
    <col min="9233" max="9233" width="0.85546875" style="27" customWidth="1"/>
    <col min="9234" max="9472" width="11.42578125" style="27"/>
    <col min="9473" max="9473" width="11.85546875" style="27" customWidth="1"/>
    <col min="9474" max="9485" width="11.5703125" style="27" customWidth="1"/>
    <col min="9486" max="9486" width="12.42578125" style="27" customWidth="1"/>
    <col min="9487" max="9487" width="11.85546875" style="27" customWidth="1"/>
    <col min="9488" max="9488" width="1" style="27" customWidth="1"/>
    <col min="9489" max="9489" width="0.85546875" style="27" customWidth="1"/>
    <col min="9490" max="9728" width="11.42578125" style="27"/>
    <col min="9729" max="9729" width="11.85546875" style="27" customWidth="1"/>
    <col min="9730" max="9741" width="11.5703125" style="27" customWidth="1"/>
    <col min="9742" max="9742" width="12.42578125" style="27" customWidth="1"/>
    <col min="9743" max="9743" width="11.85546875" style="27" customWidth="1"/>
    <col min="9744" max="9744" width="1" style="27" customWidth="1"/>
    <col min="9745" max="9745" width="0.85546875" style="27" customWidth="1"/>
    <col min="9746" max="9984" width="11.42578125" style="27"/>
    <col min="9985" max="9985" width="11.85546875" style="27" customWidth="1"/>
    <col min="9986" max="9997" width="11.5703125" style="27" customWidth="1"/>
    <col min="9998" max="9998" width="12.42578125" style="27" customWidth="1"/>
    <col min="9999" max="9999" width="11.85546875" style="27" customWidth="1"/>
    <col min="10000" max="10000" width="1" style="27" customWidth="1"/>
    <col min="10001" max="10001" width="0.85546875" style="27" customWidth="1"/>
    <col min="10002" max="10240" width="11.42578125" style="27"/>
    <col min="10241" max="10241" width="11.85546875" style="27" customWidth="1"/>
    <col min="10242" max="10253" width="11.5703125" style="27" customWidth="1"/>
    <col min="10254" max="10254" width="12.42578125" style="27" customWidth="1"/>
    <col min="10255" max="10255" width="11.85546875" style="27" customWidth="1"/>
    <col min="10256" max="10256" width="1" style="27" customWidth="1"/>
    <col min="10257" max="10257" width="0.85546875" style="27" customWidth="1"/>
    <col min="10258" max="10496" width="11.42578125" style="27"/>
    <col min="10497" max="10497" width="11.85546875" style="27" customWidth="1"/>
    <col min="10498" max="10509" width="11.5703125" style="27" customWidth="1"/>
    <col min="10510" max="10510" width="12.42578125" style="27" customWidth="1"/>
    <col min="10511" max="10511" width="11.85546875" style="27" customWidth="1"/>
    <col min="10512" max="10512" width="1" style="27" customWidth="1"/>
    <col min="10513" max="10513" width="0.85546875" style="27" customWidth="1"/>
    <col min="10514" max="10752" width="11.42578125" style="27"/>
    <col min="10753" max="10753" width="11.85546875" style="27" customWidth="1"/>
    <col min="10754" max="10765" width="11.5703125" style="27" customWidth="1"/>
    <col min="10766" max="10766" width="12.42578125" style="27" customWidth="1"/>
    <col min="10767" max="10767" width="11.85546875" style="27" customWidth="1"/>
    <col min="10768" max="10768" width="1" style="27" customWidth="1"/>
    <col min="10769" max="10769" width="0.85546875" style="27" customWidth="1"/>
    <col min="10770" max="11008" width="11.42578125" style="27"/>
    <col min="11009" max="11009" width="11.85546875" style="27" customWidth="1"/>
    <col min="11010" max="11021" width="11.5703125" style="27" customWidth="1"/>
    <col min="11022" max="11022" width="12.42578125" style="27" customWidth="1"/>
    <col min="11023" max="11023" width="11.85546875" style="27" customWidth="1"/>
    <col min="11024" max="11024" width="1" style="27" customWidth="1"/>
    <col min="11025" max="11025" width="0.85546875" style="27" customWidth="1"/>
    <col min="11026" max="11264" width="11.42578125" style="27"/>
    <col min="11265" max="11265" width="11.85546875" style="27" customWidth="1"/>
    <col min="11266" max="11277" width="11.5703125" style="27" customWidth="1"/>
    <col min="11278" max="11278" width="12.42578125" style="27" customWidth="1"/>
    <col min="11279" max="11279" width="11.85546875" style="27" customWidth="1"/>
    <col min="11280" max="11280" width="1" style="27" customWidth="1"/>
    <col min="11281" max="11281" width="0.85546875" style="27" customWidth="1"/>
    <col min="11282" max="11520" width="11.42578125" style="27"/>
    <col min="11521" max="11521" width="11.85546875" style="27" customWidth="1"/>
    <col min="11522" max="11533" width="11.5703125" style="27" customWidth="1"/>
    <col min="11534" max="11534" width="12.42578125" style="27" customWidth="1"/>
    <col min="11535" max="11535" width="11.85546875" style="27" customWidth="1"/>
    <col min="11536" max="11536" width="1" style="27" customWidth="1"/>
    <col min="11537" max="11537" width="0.85546875" style="27" customWidth="1"/>
    <col min="11538" max="11776" width="11.42578125" style="27"/>
    <col min="11777" max="11777" width="11.85546875" style="27" customWidth="1"/>
    <col min="11778" max="11789" width="11.5703125" style="27" customWidth="1"/>
    <col min="11790" max="11790" width="12.42578125" style="27" customWidth="1"/>
    <col min="11791" max="11791" width="11.85546875" style="27" customWidth="1"/>
    <col min="11792" max="11792" width="1" style="27" customWidth="1"/>
    <col min="11793" max="11793" width="0.85546875" style="27" customWidth="1"/>
    <col min="11794" max="12032" width="11.42578125" style="27"/>
    <col min="12033" max="12033" width="11.85546875" style="27" customWidth="1"/>
    <col min="12034" max="12045" width="11.5703125" style="27" customWidth="1"/>
    <col min="12046" max="12046" width="12.42578125" style="27" customWidth="1"/>
    <col min="12047" max="12047" width="11.85546875" style="27" customWidth="1"/>
    <col min="12048" max="12048" width="1" style="27" customWidth="1"/>
    <col min="12049" max="12049" width="0.85546875" style="27" customWidth="1"/>
    <col min="12050" max="12288" width="11.42578125" style="27"/>
    <col min="12289" max="12289" width="11.85546875" style="27" customWidth="1"/>
    <col min="12290" max="12301" width="11.5703125" style="27" customWidth="1"/>
    <col min="12302" max="12302" width="12.42578125" style="27" customWidth="1"/>
    <col min="12303" max="12303" width="11.85546875" style="27" customWidth="1"/>
    <col min="12304" max="12304" width="1" style="27" customWidth="1"/>
    <col min="12305" max="12305" width="0.85546875" style="27" customWidth="1"/>
    <col min="12306" max="12544" width="11.42578125" style="27"/>
    <col min="12545" max="12545" width="11.85546875" style="27" customWidth="1"/>
    <col min="12546" max="12557" width="11.5703125" style="27" customWidth="1"/>
    <col min="12558" max="12558" width="12.42578125" style="27" customWidth="1"/>
    <col min="12559" max="12559" width="11.85546875" style="27" customWidth="1"/>
    <col min="12560" max="12560" width="1" style="27" customWidth="1"/>
    <col min="12561" max="12561" width="0.85546875" style="27" customWidth="1"/>
    <col min="12562" max="12800" width="11.42578125" style="27"/>
    <col min="12801" max="12801" width="11.85546875" style="27" customWidth="1"/>
    <col min="12802" max="12813" width="11.5703125" style="27" customWidth="1"/>
    <col min="12814" max="12814" width="12.42578125" style="27" customWidth="1"/>
    <col min="12815" max="12815" width="11.85546875" style="27" customWidth="1"/>
    <col min="12816" max="12816" width="1" style="27" customWidth="1"/>
    <col min="12817" max="12817" width="0.85546875" style="27" customWidth="1"/>
    <col min="12818" max="13056" width="11.42578125" style="27"/>
    <col min="13057" max="13057" width="11.85546875" style="27" customWidth="1"/>
    <col min="13058" max="13069" width="11.5703125" style="27" customWidth="1"/>
    <col min="13070" max="13070" width="12.42578125" style="27" customWidth="1"/>
    <col min="13071" max="13071" width="11.85546875" style="27" customWidth="1"/>
    <col min="13072" max="13072" width="1" style="27" customWidth="1"/>
    <col min="13073" max="13073" width="0.85546875" style="27" customWidth="1"/>
    <col min="13074" max="13312" width="11.42578125" style="27"/>
    <col min="13313" max="13313" width="11.85546875" style="27" customWidth="1"/>
    <col min="13314" max="13325" width="11.5703125" style="27" customWidth="1"/>
    <col min="13326" max="13326" width="12.42578125" style="27" customWidth="1"/>
    <col min="13327" max="13327" width="11.85546875" style="27" customWidth="1"/>
    <col min="13328" max="13328" width="1" style="27" customWidth="1"/>
    <col min="13329" max="13329" width="0.85546875" style="27" customWidth="1"/>
    <col min="13330" max="13568" width="11.42578125" style="27"/>
    <col min="13569" max="13569" width="11.85546875" style="27" customWidth="1"/>
    <col min="13570" max="13581" width="11.5703125" style="27" customWidth="1"/>
    <col min="13582" max="13582" width="12.42578125" style="27" customWidth="1"/>
    <col min="13583" max="13583" width="11.85546875" style="27" customWidth="1"/>
    <col min="13584" max="13584" width="1" style="27" customWidth="1"/>
    <col min="13585" max="13585" width="0.85546875" style="27" customWidth="1"/>
    <col min="13586" max="13824" width="11.42578125" style="27"/>
    <col min="13825" max="13825" width="11.85546875" style="27" customWidth="1"/>
    <col min="13826" max="13837" width="11.5703125" style="27" customWidth="1"/>
    <col min="13838" max="13838" width="12.42578125" style="27" customWidth="1"/>
    <col min="13839" max="13839" width="11.85546875" style="27" customWidth="1"/>
    <col min="13840" max="13840" width="1" style="27" customWidth="1"/>
    <col min="13841" max="13841" width="0.85546875" style="27" customWidth="1"/>
    <col min="13842" max="14080" width="11.42578125" style="27"/>
    <col min="14081" max="14081" width="11.85546875" style="27" customWidth="1"/>
    <col min="14082" max="14093" width="11.5703125" style="27" customWidth="1"/>
    <col min="14094" max="14094" width="12.42578125" style="27" customWidth="1"/>
    <col min="14095" max="14095" width="11.85546875" style="27" customWidth="1"/>
    <col min="14096" max="14096" width="1" style="27" customWidth="1"/>
    <col min="14097" max="14097" width="0.85546875" style="27" customWidth="1"/>
    <col min="14098" max="14336" width="11.42578125" style="27"/>
    <col min="14337" max="14337" width="11.85546875" style="27" customWidth="1"/>
    <col min="14338" max="14349" width="11.5703125" style="27" customWidth="1"/>
    <col min="14350" max="14350" width="12.42578125" style="27" customWidth="1"/>
    <col min="14351" max="14351" width="11.85546875" style="27" customWidth="1"/>
    <col min="14352" max="14352" width="1" style="27" customWidth="1"/>
    <col min="14353" max="14353" width="0.85546875" style="27" customWidth="1"/>
    <col min="14354" max="14592" width="11.42578125" style="27"/>
    <col min="14593" max="14593" width="11.85546875" style="27" customWidth="1"/>
    <col min="14594" max="14605" width="11.5703125" style="27" customWidth="1"/>
    <col min="14606" max="14606" width="12.42578125" style="27" customWidth="1"/>
    <col min="14607" max="14607" width="11.85546875" style="27" customWidth="1"/>
    <col min="14608" max="14608" width="1" style="27" customWidth="1"/>
    <col min="14609" max="14609" width="0.85546875" style="27" customWidth="1"/>
    <col min="14610" max="14848" width="11.42578125" style="27"/>
    <col min="14849" max="14849" width="11.85546875" style="27" customWidth="1"/>
    <col min="14850" max="14861" width="11.5703125" style="27" customWidth="1"/>
    <col min="14862" max="14862" width="12.42578125" style="27" customWidth="1"/>
    <col min="14863" max="14863" width="11.85546875" style="27" customWidth="1"/>
    <col min="14864" max="14864" width="1" style="27" customWidth="1"/>
    <col min="14865" max="14865" width="0.85546875" style="27" customWidth="1"/>
    <col min="14866" max="15104" width="11.42578125" style="27"/>
    <col min="15105" max="15105" width="11.85546875" style="27" customWidth="1"/>
    <col min="15106" max="15117" width="11.5703125" style="27" customWidth="1"/>
    <col min="15118" max="15118" width="12.42578125" style="27" customWidth="1"/>
    <col min="15119" max="15119" width="11.85546875" style="27" customWidth="1"/>
    <col min="15120" max="15120" width="1" style="27" customWidth="1"/>
    <col min="15121" max="15121" width="0.85546875" style="27" customWidth="1"/>
    <col min="15122" max="15360" width="11.42578125" style="27"/>
    <col min="15361" max="15361" width="11.85546875" style="27" customWidth="1"/>
    <col min="15362" max="15373" width="11.5703125" style="27" customWidth="1"/>
    <col min="15374" max="15374" width="12.42578125" style="27" customWidth="1"/>
    <col min="15375" max="15375" width="11.85546875" style="27" customWidth="1"/>
    <col min="15376" max="15376" width="1" style="27" customWidth="1"/>
    <col min="15377" max="15377" width="0.85546875" style="27" customWidth="1"/>
    <col min="15378" max="15616" width="11.42578125" style="27"/>
    <col min="15617" max="15617" width="11.85546875" style="27" customWidth="1"/>
    <col min="15618" max="15629" width="11.5703125" style="27" customWidth="1"/>
    <col min="15630" max="15630" width="12.42578125" style="27" customWidth="1"/>
    <col min="15631" max="15631" width="11.85546875" style="27" customWidth="1"/>
    <col min="15632" max="15632" width="1" style="27" customWidth="1"/>
    <col min="15633" max="15633" width="0.85546875" style="27" customWidth="1"/>
    <col min="15634" max="15872" width="11.42578125" style="27"/>
    <col min="15873" max="15873" width="11.85546875" style="27" customWidth="1"/>
    <col min="15874" max="15885" width="11.5703125" style="27" customWidth="1"/>
    <col min="15886" max="15886" width="12.42578125" style="27" customWidth="1"/>
    <col min="15887" max="15887" width="11.85546875" style="27" customWidth="1"/>
    <col min="15888" max="15888" width="1" style="27" customWidth="1"/>
    <col min="15889" max="15889" width="0.85546875" style="27" customWidth="1"/>
    <col min="15890" max="16128" width="11.42578125" style="27"/>
    <col min="16129" max="16129" width="11.85546875" style="27" customWidth="1"/>
    <col min="16130" max="16141" width="11.5703125" style="27" customWidth="1"/>
    <col min="16142" max="16142" width="12.42578125" style="27" customWidth="1"/>
    <col min="16143" max="16143" width="11.85546875" style="27" customWidth="1"/>
    <col min="16144" max="16144" width="1" style="27" customWidth="1"/>
    <col min="16145" max="16145" width="0.85546875" style="27" customWidth="1"/>
    <col min="16146" max="16384" width="11.42578125" style="27"/>
  </cols>
  <sheetData>
    <row r="1" spans="1:18" ht="12.75" customHeight="1" x14ac:dyDescent="0.2">
      <c r="A1" s="229"/>
      <c r="B1" s="230"/>
      <c r="C1" s="235" t="s">
        <v>76</v>
      </c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7"/>
    </row>
    <row r="2" spans="1:18" ht="12.75" customHeight="1" x14ac:dyDescent="0.2">
      <c r="A2" s="231"/>
      <c r="B2" s="232"/>
      <c r="C2" s="238"/>
      <c r="D2" s="239"/>
      <c r="E2" s="239"/>
      <c r="F2" s="239"/>
      <c r="G2" s="239"/>
      <c r="H2" s="239"/>
      <c r="I2" s="239"/>
      <c r="J2" s="239"/>
      <c r="K2" s="239"/>
      <c r="L2" s="239"/>
      <c r="M2" s="239"/>
      <c r="N2" s="240"/>
    </row>
    <row r="3" spans="1:18" ht="12.75" customHeight="1" x14ac:dyDescent="0.2">
      <c r="A3" s="231"/>
      <c r="B3" s="232"/>
      <c r="C3" s="238"/>
      <c r="D3" s="239"/>
      <c r="E3" s="239"/>
      <c r="F3" s="239"/>
      <c r="G3" s="239"/>
      <c r="H3" s="239"/>
      <c r="I3" s="239"/>
      <c r="J3" s="239"/>
      <c r="K3" s="239"/>
      <c r="L3" s="239"/>
      <c r="M3" s="239"/>
      <c r="N3" s="240"/>
      <c r="R3" s="224">
        <f>C20</f>
        <v>1.9956860926885318</v>
      </c>
    </row>
    <row r="4" spans="1:18" ht="16.5" customHeight="1" thickBot="1" x14ac:dyDescent="0.25">
      <c r="A4" s="233"/>
      <c r="B4" s="234"/>
      <c r="C4" s="241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3"/>
      <c r="R4" s="223"/>
    </row>
    <row r="5" spans="1:18" ht="26.25" thickBot="1" x14ac:dyDescent="0.25">
      <c r="A5" s="28" t="s">
        <v>237</v>
      </c>
      <c r="B5" s="29" t="s">
        <v>61</v>
      </c>
      <c r="C5" s="29" t="s">
        <v>62</v>
      </c>
      <c r="D5" s="29" t="s">
        <v>63</v>
      </c>
      <c r="E5" s="29" t="s">
        <v>64</v>
      </c>
      <c r="F5" s="29" t="s">
        <v>65</v>
      </c>
      <c r="G5" s="29" t="s">
        <v>66</v>
      </c>
      <c r="H5" s="29" t="s">
        <v>67</v>
      </c>
      <c r="I5" s="30" t="s">
        <v>68</v>
      </c>
      <c r="J5" s="29" t="s">
        <v>69</v>
      </c>
      <c r="K5" s="29" t="s">
        <v>70</v>
      </c>
      <c r="L5" s="29" t="s">
        <v>71</v>
      </c>
      <c r="M5" s="30" t="s">
        <v>72</v>
      </c>
      <c r="N5" s="29" t="s">
        <v>73</v>
      </c>
      <c r="Q5" s="31"/>
      <c r="R5" s="31"/>
    </row>
    <row r="6" spans="1:18" ht="13.5" thickBot="1" x14ac:dyDescent="0.25">
      <c r="A6" s="32">
        <v>43252</v>
      </c>
      <c r="B6" s="54">
        <v>9.6999999999999993</v>
      </c>
      <c r="C6" s="55">
        <v>1.8576999999999999</v>
      </c>
      <c r="D6" s="35">
        <f t="shared" ref="D6:D28" si="0">ROUND(B6/C6,4)</f>
        <v>5.2214999999999998</v>
      </c>
      <c r="E6" s="54">
        <v>8.2967999999999993</v>
      </c>
      <c r="F6" s="55">
        <v>1.6160000000000001</v>
      </c>
      <c r="G6" s="36">
        <f t="shared" ref="G6:G28" si="1">ROUND(E6/F6,4)</f>
        <v>5.1341999999999999</v>
      </c>
      <c r="H6" s="37">
        <f>ROUND(AVERAGE(D6,G6),4)</f>
        <v>5.1779000000000002</v>
      </c>
      <c r="I6" s="38">
        <f>ABS((G6-H6)/H6*100)</f>
        <v>0.8439714942351203</v>
      </c>
      <c r="J6" s="39" t="str">
        <f>(IF((ABS(I6))&lt;(ABS(2)),"O.K.","NO CUMPLE"))</f>
        <v>O.K.</v>
      </c>
      <c r="K6" s="40">
        <v>76.2</v>
      </c>
      <c r="L6" s="41">
        <v>54</v>
      </c>
      <c r="M6" s="42">
        <f>K6-((9*(100-L6))/25)</f>
        <v>59.64</v>
      </c>
      <c r="N6" s="43" t="s">
        <v>235</v>
      </c>
      <c r="P6" s="26">
        <v>5.5</v>
      </c>
      <c r="Q6" s="26">
        <v>4.5</v>
      </c>
    </row>
    <row r="7" spans="1:18" ht="13.5" thickBot="1" x14ac:dyDescent="0.25">
      <c r="A7" s="32">
        <f>A6+1</f>
        <v>43253</v>
      </c>
      <c r="B7" s="33">
        <v>9.6</v>
      </c>
      <c r="C7" s="34">
        <v>1.8009999999999999</v>
      </c>
      <c r="D7" s="45">
        <f t="shared" si="0"/>
        <v>5.3304</v>
      </c>
      <c r="E7" s="33">
        <v>9.9</v>
      </c>
      <c r="F7" s="34">
        <v>1.8058235294117648</v>
      </c>
      <c r="G7" s="45">
        <f t="shared" si="1"/>
        <v>5.4823000000000004</v>
      </c>
      <c r="H7" s="46">
        <f t="shared" ref="H7:H28" si="2">ROUND(AVERAGE(D7,G7),4)</f>
        <v>5.4063999999999997</v>
      </c>
      <c r="I7" s="47">
        <f t="shared" ref="I7:I28" si="3">ABS((G7-H7)/H7*100)</f>
        <v>1.4038916839301707</v>
      </c>
      <c r="J7" s="48" t="str">
        <f t="shared" ref="J7:J28" si="4">(IF((ABS(I7))&lt;(ABS(2)),"O.K.","NO CUMPLE"))</f>
        <v>O.K.</v>
      </c>
      <c r="K7" s="49">
        <v>65.400000000000006</v>
      </c>
      <c r="L7" s="50">
        <v>56</v>
      </c>
      <c r="M7" s="51">
        <f t="shared" ref="M7:M28" si="5">K7-((9*(100-L7))/25)</f>
        <v>49.56</v>
      </c>
      <c r="N7" s="43" t="s">
        <v>235</v>
      </c>
      <c r="P7" s="26">
        <v>5.5</v>
      </c>
      <c r="Q7" s="26">
        <v>4.5</v>
      </c>
    </row>
    <row r="8" spans="1:18" ht="13.5" thickBot="1" x14ac:dyDescent="0.25">
      <c r="A8" s="32">
        <f t="shared" ref="A8:A28" si="6">A7+1</f>
        <v>43254</v>
      </c>
      <c r="B8" s="33">
        <v>9.9</v>
      </c>
      <c r="C8" s="34">
        <v>2.0125139637826961</v>
      </c>
      <c r="D8" s="45">
        <f t="shared" si="0"/>
        <v>4.9192</v>
      </c>
      <c r="E8" s="33">
        <v>8.6999999999999993</v>
      </c>
      <c r="F8" s="34">
        <v>1.7270466493121694</v>
      </c>
      <c r="G8" s="45">
        <f t="shared" si="1"/>
        <v>5.0374999999999996</v>
      </c>
      <c r="H8" s="46">
        <f t="shared" si="2"/>
        <v>4.9783999999999997</v>
      </c>
      <c r="I8" s="47">
        <f t="shared" si="3"/>
        <v>1.1871283946649511</v>
      </c>
      <c r="J8" s="48" t="str">
        <f t="shared" si="4"/>
        <v>O.K.</v>
      </c>
      <c r="K8" s="49">
        <v>62.2</v>
      </c>
      <c r="L8" s="50">
        <v>54</v>
      </c>
      <c r="M8" s="51">
        <f t="shared" si="5"/>
        <v>45.64</v>
      </c>
      <c r="N8" s="52" t="s">
        <v>235</v>
      </c>
      <c r="P8" s="26">
        <v>5.5</v>
      </c>
      <c r="Q8" s="26">
        <v>4.5</v>
      </c>
    </row>
    <row r="9" spans="1:18" ht="13.5" thickBot="1" x14ac:dyDescent="0.25">
      <c r="A9" s="32">
        <f t="shared" si="6"/>
        <v>43255</v>
      </c>
      <c r="B9" s="33">
        <v>9.1999999999999993</v>
      </c>
      <c r="C9" s="34">
        <v>1.8408705879101375</v>
      </c>
      <c r="D9" s="45">
        <f>ROUND(B9/C9,4)</f>
        <v>4.9976000000000003</v>
      </c>
      <c r="E9" s="33">
        <v>9.5</v>
      </c>
      <c r="F9" s="34">
        <v>1.8865733840209242</v>
      </c>
      <c r="G9" s="45">
        <f t="shared" si="1"/>
        <v>5.0355999999999996</v>
      </c>
      <c r="H9" s="46">
        <f t="shared" si="2"/>
        <v>5.0166000000000004</v>
      </c>
      <c r="I9" s="47">
        <f t="shared" si="3"/>
        <v>0.37874257465213962</v>
      </c>
      <c r="J9" s="48" t="str">
        <f t="shared" si="4"/>
        <v>O.K.</v>
      </c>
      <c r="K9" s="49">
        <v>71.400000000000006</v>
      </c>
      <c r="L9" s="50">
        <v>87</v>
      </c>
      <c r="M9" s="51">
        <f t="shared" si="5"/>
        <v>66.72</v>
      </c>
      <c r="N9" s="52" t="s">
        <v>235</v>
      </c>
      <c r="P9" s="26">
        <v>5.5</v>
      </c>
      <c r="Q9" s="26">
        <v>4.5</v>
      </c>
    </row>
    <row r="10" spans="1:18" ht="13.5" thickBot="1" x14ac:dyDescent="0.25">
      <c r="A10" s="32">
        <f t="shared" si="6"/>
        <v>43256</v>
      </c>
      <c r="B10" s="33">
        <v>9.3000000000000007</v>
      </c>
      <c r="C10" s="34">
        <v>1.8852830753723553</v>
      </c>
      <c r="D10" s="45">
        <f>ROUND(B10/C10,4)</f>
        <v>4.9329000000000001</v>
      </c>
      <c r="E10" s="33">
        <v>9.1</v>
      </c>
      <c r="F10" s="34">
        <v>1.7907301519909131</v>
      </c>
      <c r="G10" s="45">
        <f>ROUND(E10/F10,4)</f>
        <v>5.0816999999999997</v>
      </c>
      <c r="H10" s="46">
        <f t="shared" si="2"/>
        <v>5.0072999999999999</v>
      </c>
      <c r="I10" s="47">
        <f t="shared" si="3"/>
        <v>1.4858306871966889</v>
      </c>
      <c r="J10" s="48" t="str">
        <f t="shared" si="4"/>
        <v>O.K.</v>
      </c>
      <c r="K10" s="49">
        <v>65.8</v>
      </c>
      <c r="L10" s="50">
        <v>66</v>
      </c>
      <c r="M10" s="51">
        <f t="shared" si="5"/>
        <v>53.559999999999995</v>
      </c>
      <c r="N10" s="52" t="s">
        <v>235</v>
      </c>
      <c r="P10" s="26">
        <v>5.5</v>
      </c>
      <c r="Q10" s="26">
        <v>4.5</v>
      </c>
    </row>
    <row r="11" spans="1:18" ht="13.5" thickBot="1" x14ac:dyDescent="0.25">
      <c r="A11" s="32">
        <f t="shared" si="6"/>
        <v>43257</v>
      </c>
      <c r="B11" s="33">
        <v>11.5</v>
      </c>
      <c r="C11" s="34">
        <v>2.281119367514099</v>
      </c>
      <c r="D11" s="45">
        <f t="shared" si="0"/>
        <v>5.0414000000000003</v>
      </c>
      <c r="E11" s="33">
        <v>10.199999999999999</v>
      </c>
      <c r="F11" s="34">
        <v>2.0548137885235254</v>
      </c>
      <c r="G11" s="45">
        <f t="shared" si="1"/>
        <v>4.9640000000000004</v>
      </c>
      <c r="H11" s="46">
        <f t="shared" si="2"/>
        <v>5.0026999999999999</v>
      </c>
      <c r="I11" s="47">
        <f t="shared" si="3"/>
        <v>0.77358226557657883</v>
      </c>
      <c r="J11" s="48" t="str">
        <f t="shared" si="4"/>
        <v>O.K.</v>
      </c>
      <c r="K11" s="49">
        <v>64.8</v>
      </c>
      <c r="L11" s="50">
        <v>59</v>
      </c>
      <c r="M11" s="51">
        <f>K11-((9*(100-L11))/25)</f>
        <v>50.04</v>
      </c>
      <c r="N11" s="52" t="s">
        <v>235</v>
      </c>
      <c r="P11" s="26">
        <v>5.5</v>
      </c>
      <c r="Q11" s="26">
        <v>4.5</v>
      </c>
    </row>
    <row r="12" spans="1:18" ht="13.5" thickBot="1" x14ac:dyDescent="0.25">
      <c r="A12" s="32">
        <f t="shared" si="6"/>
        <v>43258</v>
      </c>
      <c r="B12" s="33">
        <v>9.5</v>
      </c>
      <c r="C12" s="34">
        <v>1.9335577396886414</v>
      </c>
      <c r="D12" s="45">
        <f t="shared" si="0"/>
        <v>4.9131999999999998</v>
      </c>
      <c r="E12" s="33">
        <v>9</v>
      </c>
      <c r="F12" s="34">
        <v>1.7873731840129847</v>
      </c>
      <c r="G12" s="45">
        <f>ROUND(E12/F12,4)</f>
        <v>5.0353000000000003</v>
      </c>
      <c r="H12" s="46">
        <f t="shared" si="2"/>
        <v>4.9743000000000004</v>
      </c>
      <c r="I12" s="47">
        <f t="shared" si="3"/>
        <v>1.2263031984399801</v>
      </c>
      <c r="J12" s="48" t="str">
        <f>(IF((ABS(I12))&lt;(ABS(2)),"O.K.","NO CUMPLE"))</f>
        <v>O.K.</v>
      </c>
      <c r="K12" s="49">
        <v>68</v>
      </c>
      <c r="L12" s="50">
        <v>72</v>
      </c>
      <c r="M12" s="51">
        <f t="shared" si="5"/>
        <v>57.92</v>
      </c>
      <c r="N12" s="52" t="s">
        <v>235</v>
      </c>
      <c r="P12" s="26">
        <v>5.5</v>
      </c>
      <c r="Q12" s="26">
        <v>4.5</v>
      </c>
    </row>
    <row r="13" spans="1:18" ht="13.5" thickBot="1" x14ac:dyDescent="0.25">
      <c r="A13" s="32">
        <f t="shared" si="6"/>
        <v>43259</v>
      </c>
      <c r="B13" s="33">
        <v>7.8</v>
      </c>
      <c r="C13" s="34">
        <v>1.4822979418863191</v>
      </c>
      <c r="D13" s="45">
        <f t="shared" si="0"/>
        <v>5.2621000000000002</v>
      </c>
      <c r="E13" s="33">
        <v>5.8</v>
      </c>
      <c r="F13" s="34">
        <v>1.0937411604970864</v>
      </c>
      <c r="G13" s="45">
        <f t="shared" si="1"/>
        <v>5.3029000000000002</v>
      </c>
      <c r="H13" s="46">
        <f t="shared" si="2"/>
        <v>5.2824999999999998</v>
      </c>
      <c r="I13" s="47">
        <f t="shared" si="3"/>
        <v>0.38618078561288066</v>
      </c>
      <c r="J13" s="48" t="str">
        <f t="shared" si="4"/>
        <v>O.K.</v>
      </c>
      <c r="K13" s="49">
        <v>67.099999999999994</v>
      </c>
      <c r="L13" s="50">
        <v>65</v>
      </c>
      <c r="M13" s="51">
        <f t="shared" si="5"/>
        <v>54.499999999999993</v>
      </c>
      <c r="N13" s="52" t="s">
        <v>230</v>
      </c>
      <c r="P13" s="26">
        <v>5.5</v>
      </c>
      <c r="Q13" s="26">
        <v>4.5</v>
      </c>
    </row>
    <row r="14" spans="1:18" ht="13.5" thickBot="1" x14ac:dyDescent="0.25">
      <c r="A14" s="32">
        <f t="shared" si="6"/>
        <v>43260</v>
      </c>
      <c r="B14" s="33">
        <v>9.6</v>
      </c>
      <c r="C14" s="34">
        <v>1.8660342883800491</v>
      </c>
      <c r="D14" s="45">
        <f t="shared" si="0"/>
        <v>5.1445999999999996</v>
      </c>
      <c r="E14" s="33">
        <v>17.100000000000001</v>
      </c>
      <c r="F14" s="34">
        <v>3.2735417424430961</v>
      </c>
      <c r="G14" s="45">
        <f t="shared" si="1"/>
        <v>5.2237</v>
      </c>
      <c r="H14" s="46">
        <f t="shared" si="2"/>
        <v>5.1841999999999997</v>
      </c>
      <c r="I14" s="47">
        <f t="shared" si="3"/>
        <v>0.76193048107712502</v>
      </c>
      <c r="J14" s="48" t="str">
        <f t="shared" si="4"/>
        <v>O.K.</v>
      </c>
      <c r="K14" s="49">
        <v>68</v>
      </c>
      <c r="L14" s="50">
        <v>70</v>
      </c>
      <c r="M14" s="51">
        <f>K14-((9*(100-L14))/25)</f>
        <v>57.2</v>
      </c>
      <c r="N14" s="52" t="s">
        <v>230</v>
      </c>
      <c r="P14" s="26">
        <v>5.5</v>
      </c>
      <c r="Q14" s="26">
        <v>4.5</v>
      </c>
    </row>
    <row r="15" spans="1:18" ht="13.5" thickBot="1" x14ac:dyDescent="0.25">
      <c r="A15" s="32">
        <f t="shared" si="6"/>
        <v>43261</v>
      </c>
      <c r="B15" s="33">
        <v>8.6999999999999993</v>
      </c>
      <c r="C15" s="34">
        <v>1.6847405112316034</v>
      </c>
      <c r="D15" s="45">
        <f>ROUND(B15/C15,4)</f>
        <v>5.1639999999999997</v>
      </c>
      <c r="E15" s="33">
        <v>10.8</v>
      </c>
      <c r="F15" s="34">
        <v>2.0990437689497008</v>
      </c>
      <c r="G15" s="45">
        <f>ROUND(E15/F15,4)</f>
        <v>5.1452</v>
      </c>
      <c r="H15" s="46">
        <f t="shared" si="2"/>
        <v>5.1546000000000003</v>
      </c>
      <c r="I15" s="53">
        <f>ABS((G15-H15)/H15*100)</f>
        <v>0.18236138594653895</v>
      </c>
      <c r="J15" s="48" t="str">
        <f t="shared" si="4"/>
        <v>O.K.</v>
      </c>
      <c r="K15" s="49">
        <v>65.2</v>
      </c>
      <c r="L15" s="50">
        <v>72</v>
      </c>
      <c r="M15" s="51">
        <f>K15-((9*(100-L15))/25)</f>
        <v>55.120000000000005</v>
      </c>
      <c r="N15" s="52" t="s">
        <v>230</v>
      </c>
      <c r="P15" s="26">
        <v>5.5</v>
      </c>
      <c r="Q15" s="26">
        <v>4.5</v>
      </c>
    </row>
    <row r="16" spans="1:18" ht="13.5" thickBot="1" x14ac:dyDescent="0.25">
      <c r="A16" s="32">
        <f t="shared" si="6"/>
        <v>43262</v>
      </c>
      <c r="B16" s="33">
        <v>9.4</v>
      </c>
      <c r="C16" s="34">
        <v>1.8441135503109491</v>
      </c>
      <c r="D16" s="45">
        <f t="shared" si="0"/>
        <v>5.0972999999999997</v>
      </c>
      <c r="E16" s="33">
        <v>8.4</v>
      </c>
      <c r="F16" s="34">
        <v>1.6373630657674165</v>
      </c>
      <c r="G16" s="45">
        <f t="shared" si="1"/>
        <v>5.1302000000000003</v>
      </c>
      <c r="H16" s="46">
        <f t="shared" si="2"/>
        <v>5.1138000000000003</v>
      </c>
      <c r="I16" s="47">
        <f>ABS((G16-H16)/H16*100)</f>
        <v>0.3207008486839526</v>
      </c>
      <c r="J16" s="48" t="str">
        <f t="shared" si="4"/>
        <v>O.K.</v>
      </c>
      <c r="K16" s="49">
        <v>64.2</v>
      </c>
      <c r="L16" s="50">
        <v>60</v>
      </c>
      <c r="M16" s="51">
        <f>K16-((9*(100-L16))/25)</f>
        <v>49.800000000000004</v>
      </c>
      <c r="N16" s="52" t="s">
        <v>230</v>
      </c>
      <c r="P16" s="26">
        <v>5.5</v>
      </c>
      <c r="Q16" s="26">
        <v>4.5</v>
      </c>
    </row>
    <row r="17" spans="1:17" ht="13.5" thickBot="1" x14ac:dyDescent="0.25">
      <c r="A17" s="32">
        <f t="shared" si="6"/>
        <v>43263</v>
      </c>
      <c r="B17" s="33">
        <v>12.5</v>
      </c>
      <c r="C17" s="34">
        <v>2.4568575808797517</v>
      </c>
      <c r="D17" s="45">
        <f>ROUND(B17/C17,4)</f>
        <v>5.0877999999999997</v>
      </c>
      <c r="E17" s="33">
        <v>9.4</v>
      </c>
      <c r="F17" s="34">
        <v>1.8804889271210514</v>
      </c>
      <c r="G17" s="45">
        <f t="shared" si="1"/>
        <v>4.9987000000000004</v>
      </c>
      <c r="H17" s="46">
        <f t="shared" si="2"/>
        <v>5.0433000000000003</v>
      </c>
      <c r="I17" s="47">
        <f>ABS((G17-H17)/H17*100)</f>
        <v>0.88434160172902609</v>
      </c>
      <c r="J17" s="48" t="str">
        <f t="shared" si="4"/>
        <v>O.K.</v>
      </c>
      <c r="K17" s="49">
        <v>65.400000000000006</v>
      </c>
      <c r="L17" s="50">
        <v>63</v>
      </c>
      <c r="M17" s="51">
        <f>K17-((9*(100-L17))/25)</f>
        <v>52.080000000000005</v>
      </c>
      <c r="N17" s="52" t="s">
        <v>230</v>
      </c>
      <c r="P17" s="26">
        <v>5.5</v>
      </c>
      <c r="Q17" s="26">
        <v>4.5</v>
      </c>
    </row>
    <row r="18" spans="1:17" ht="13.5" thickBot="1" x14ac:dyDescent="0.25">
      <c r="A18" s="32">
        <f t="shared" si="6"/>
        <v>43264</v>
      </c>
      <c r="B18" s="33">
        <v>8.9</v>
      </c>
      <c r="C18" s="34">
        <v>1.7479770602561082</v>
      </c>
      <c r="D18" s="45">
        <f>ROUND(B18/C18,4)</f>
        <v>5.0915999999999997</v>
      </c>
      <c r="E18" s="33">
        <v>15.1</v>
      </c>
      <c r="F18" s="34">
        <v>2.9532564052415409</v>
      </c>
      <c r="G18" s="45">
        <f t="shared" si="1"/>
        <v>5.1130000000000004</v>
      </c>
      <c r="H18" s="46">
        <f t="shared" si="2"/>
        <v>5.1022999999999996</v>
      </c>
      <c r="I18" s="47">
        <f>ABS((G18-H18)/H18*100)</f>
        <v>0.20970934676520042</v>
      </c>
      <c r="J18" s="48" t="str">
        <f t="shared" si="4"/>
        <v>O.K.</v>
      </c>
      <c r="K18" s="49">
        <v>64.400000000000006</v>
      </c>
      <c r="L18" s="50">
        <v>48</v>
      </c>
      <c r="M18" s="51">
        <f t="shared" si="5"/>
        <v>45.680000000000007</v>
      </c>
      <c r="N18" s="52" t="s">
        <v>230</v>
      </c>
      <c r="P18" s="26">
        <v>5.5</v>
      </c>
      <c r="Q18" s="26">
        <v>4.5</v>
      </c>
    </row>
    <row r="19" spans="1:17" ht="13.5" thickBot="1" x14ac:dyDescent="0.25">
      <c r="A19" s="32">
        <f t="shared" si="6"/>
        <v>43265</v>
      </c>
      <c r="B19" s="33">
        <v>8.5</v>
      </c>
      <c r="C19" s="34">
        <v>1.7467428383543626</v>
      </c>
      <c r="D19" s="45">
        <f t="shared" si="0"/>
        <v>4.8662000000000001</v>
      </c>
      <c r="E19" s="33">
        <v>11.3</v>
      </c>
      <c r="F19" s="34">
        <v>2.2849516722610912</v>
      </c>
      <c r="G19" s="45">
        <f t="shared" si="1"/>
        <v>4.9454000000000002</v>
      </c>
      <c r="H19" s="46">
        <f t="shared" si="2"/>
        <v>4.9058000000000002</v>
      </c>
      <c r="I19" s="47">
        <f>ABS((G19-H19)/H19*100)</f>
        <v>0.8072077948550711</v>
      </c>
      <c r="J19" s="48" t="str">
        <f t="shared" si="4"/>
        <v>O.K.</v>
      </c>
      <c r="K19" s="49">
        <v>64</v>
      </c>
      <c r="L19" s="50">
        <v>51</v>
      </c>
      <c r="M19" s="51">
        <f t="shared" si="5"/>
        <v>46.36</v>
      </c>
      <c r="N19" s="52" t="s">
        <v>230</v>
      </c>
      <c r="P19" s="26">
        <v>5.5</v>
      </c>
      <c r="Q19" s="26">
        <v>4.5</v>
      </c>
    </row>
    <row r="20" spans="1:17" ht="13.5" thickBot="1" x14ac:dyDescent="0.25">
      <c r="A20" s="32">
        <f t="shared" si="6"/>
        <v>43266</v>
      </c>
      <c r="B20" s="33">
        <v>9.9</v>
      </c>
      <c r="C20" s="34">
        <v>1.9956860926885318</v>
      </c>
      <c r="D20" s="45">
        <f t="shared" si="0"/>
        <v>4.9607000000000001</v>
      </c>
      <c r="E20" s="33">
        <v>9.6999999999999993</v>
      </c>
      <c r="F20" s="34">
        <v>1.9310015328568868</v>
      </c>
      <c r="G20" s="45">
        <f t="shared" si="1"/>
        <v>5.0232999999999999</v>
      </c>
      <c r="H20" s="46">
        <f t="shared" si="2"/>
        <v>4.992</v>
      </c>
      <c r="I20" s="47">
        <f t="shared" si="3"/>
        <v>0.62700320512820285</v>
      </c>
      <c r="J20" s="48" t="str">
        <f t="shared" si="4"/>
        <v>O.K.</v>
      </c>
      <c r="K20" s="49">
        <v>64</v>
      </c>
      <c r="L20" s="50">
        <v>55</v>
      </c>
      <c r="M20" s="51">
        <f>K20-((9*(100-L20))/25)</f>
        <v>47.8</v>
      </c>
      <c r="N20" s="52" t="s">
        <v>231</v>
      </c>
      <c r="P20" s="26">
        <v>5.5</v>
      </c>
      <c r="Q20" s="26">
        <v>4.5</v>
      </c>
    </row>
    <row r="21" spans="1:17" ht="13.5" thickBot="1" x14ac:dyDescent="0.25">
      <c r="A21" s="32">
        <f t="shared" si="6"/>
        <v>43267</v>
      </c>
      <c r="B21" s="33">
        <v>7.1</v>
      </c>
      <c r="C21" s="34">
        <v>1.3956322607276943</v>
      </c>
      <c r="D21" s="45">
        <f t="shared" si="0"/>
        <v>5.0872999999999999</v>
      </c>
      <c r="E21" s="33">
        <v>7</v>
      </c>
      <c r="F21" s="34">
        <v>1.3710167068178702</v>
      </c>
      <c r="G21" s="45">
        <f t="shared" si="1"/>
        <v>5.1056999999999997</v>
      </c>
      <c r="H21" s="46">
        <f t="shared" si="2"/>
        <v>5.0964999999999998</v>
      </c>
      <c r="I21" s="47">
        <f t="shared" si="3"/>
        <v>0.18051604041989358</v>
      </c>
      <c r="J21" s="48" t="str">
        <f t="shared" si="4"/>
        <v>O.K.</v>
      </c>
      <c r="K21" s="49">
        <v>65.3</v>
      </c>
      <c r="L21" s="50">
        <v>68</v>
      </c>
      <c r="M21" s="51">
        <f t="shared" si="5"/>
        <v>53.78</v>
      </c>
      <c r="N21" s="52" t="s">
        <v>231</v>
      </c>
      <c r="P21" s="26">
        <v>5.5</v>
      </c>
      <c r="Q21" s="26">
        <v>4.5</v>
      </c>
    </row>
    <row r="22" spans="1:17" ht="13.5" thickBot="1" x14ac:dyDescent="0.25">
      <c r="A22" s="32">
        <f t="shared" si="6"/>
        <v>43268</v>
      </c>
      <c r="B22" s="33">
        <v>9.4</v>
      </c>
      <c r="C22" s="34">
        <v>1.7995596822054181</v>
      </c>
      <c r="D22" s="45">
        <f t="shared" si="0"/>
        <v>5.2234999999999996</v>
      </c>
      <c r="E22" s="33">
        <v>9.9</v>
      </c>
      <c r="F22" s="34">
        <v>1.9515079834417504</v>
      </c>
      <c r="G22" s="45">
        <f t="shared" si="1"/>
        <v>5.0730000000000004</v>
      </c>
      <c r="H22" s="46">
        <f t="shared" si="2"/>
        <v>5.1482999999999999</v>
      </c>
      <c r="I22" s="47">
        <f t="shared" si="3"/>
        <v>1.4626187285123144</v>
      </c>
      <c r="J22" s="48" t="str">
        <f t="shared" si="4"/>
        <v>O.K.</v>
      </c>
      <c r="K22" s="49">
        <v>65.099999999999994</v>
      </c>
      <c r="L22" s="50">
        <v>57</v>
      </c>
      <c r="M22" s="51">
        <f t="shared" si="5"/>
        <v>49.61999999999999</v>
      </c>
      <c r="N22" s="52" t="s">
        <v>231</v>
      </c>
      <c r="P22" s="26">
        <v>5.5</v>
      </c>
      <c r="Q22" s="26">
        <v>4.5</v>
      </c>
    </row>
    <row r="23" spans="1:17" ht="13.5" thickBot="1" x14ac:dyDescent="0.25">
      <c r="A23" s="32">
        <f t="shared" si="6"/>
        <v>43269</v>
      </c>
      <c r="B23" s="33">
        <v>11.4</v>
      </c>
      <c r="C23" s="34">
        <v>2.2512292896779162</v>
      </c>
      <c r="D23" s="45">
        <f t="shared" si="0"/>
        <v>5.0639000000000003</v>
      </c>
      <c r="E23" s="33">
        <v>9.5</v>
      </c>
      <c r="F23" s="34">
        <v>1.8858560794044665</v>
      </c>
      <c r="G23" s="45">
        <f t="shared" si="1"/>
        <v>5.0374999999999996</v>
      </c>
      <c r="H23" s="46">
        <f t="shared" si="2"/>
        <v>5.0507</v>
      </c>
      <c r="I23" s="47">
        <f t="shared" si="3"/>
        <v>0.26134991189340734</v>
      </c>
      <c r="J23" s="48" t="str">
        <f t="shared" si="4"/>
        <v>O.K.</v>
      </c>
      <c r="K23" s="49">
        <v>65.099999999999994</v>
      </c>
      <c r="L23" s="50">
        <v>68</v>
      </c>
      <c r="M23" s="51">
        <f t="shared" si="5"/>
        <v>53.58</v>
      </c>
      <c r="N23" s="52" t="s">
        <v>231</v>
      </c>
      <c r="P23" s="26">
        <v>5.5</v>
      </c>
      <c r="Q23" s="26">
        <v>4.5</v>
      </c>
    </row>
    <row r="24" spans="1:17" ht="13.5" thickBot="1" x14ac:dyDescent="0.25">
      <c r="A24" s="32">
        <f t="shared" si="6"/>
        <v>43270</v>
      </c>
      <c r="B24" s="33">
        <v>8.6</v>
      </c>
      <c r="C24" s="34">
        <v>1.6730541019006673</v>
      </c>
      <c r="D24" s="45">
        <f>ROUND(B24/C24,4)</f>
        <v>5.1402999999999999</v>
      </c>
      <c r="E24" s="33">
        <v>7.5</v>
      </c>
      <c r="F24" s="34">
        <v>1.4954836394089848</v>
      </c>
      <c r="G24" s="45">
        <f t="shared" si="1"/>
        <v>5.0151000000000003</v>
      </c>
      <c r="H24" s="46">
        <f t="shared" si="2"/>
        <v>5.0777000000000001</v>
      </c>
      <c r="I24" s="47">
        <f t="shared" si="3"/>
        <v>1.232841640900403</v>
      </c>
      <c r="J24" s="48" t="str">
        <f t="shared" si="4"/>
        <v>O.K.</v>
      </c>
      <c r="K24" s="49">
        <v>64.599999999999994</v>
      </c>
      <c r="L24" s="50">
        <v>65</v>
      </c>
      <c r="M24" s="51">
        <f t="shared" si="5"/>
        <v>51.999999999999993</v>
      </c>
      <c r="N24" s="52" t="s">
        <v>231</v>
      </c>
      <c r="P24" s="26">
        <v>5.5</v>
      </c>
      <c r="Q24" s="26">
        <v>4.5</v>
      </c>
    </row>
    <row r="25" spans="1:17" ht="13.5" thickBot="1" x14ac:dyDescent="0.25">
      <c r="A25" s="32">
        <f t="shared" si="6"/>
        <v>43271</v>
      </c>
      <c r="B25" s="33">
        <v>9.1</v>
      </c>
      <c r="C25" s="34">
        <v>1.7472782780668574</v>
      </c>
      <c r="D25" s="45">
        <f t="shared" si="0"/>
        <v>5.2081</v>
      </c>
      <c r="E25" s="33">
        <v>6.9</v>
      </c>
      <c r="F25" s="34">
        <v>1.3044957840208722</v>
      </c>
      <c r="G25" s="45">
        <f t="shared" si="1"/>
        <v>5.2893999999999997</v>
      </c>
      <c r="H25" s="46">
        <f t="shared" si="2"/>
        <v>5.2488000000000001</v>
      </c>
      <c r="I25" s="47">
        <f t="shared" si="3"/>
        <v>0.77351013565004434</v>
      </c>
      <c r="J25" s="48" t="str">
        <f t="shared" si="4"/>
        <v>O.K.</v>
      </c>
      <c r="K25" s="49">
        <v>65.5</v>
      </c>
      <c r="L25" s="50">
        <v>64</v>
      </c>
      <c r="M25" s="51">
        <f t="shared" si="5"/>
        <v>52.54</v>
      </c>
      <c r="N25" s="52" t="s">
        <v>231</v>
      </c>
      <c r="P25" s="26">
        <v>5.5</v>
      </c>
      <c r="Q25" s="26">
        <v>4.5</v>
      </c>
    </row>
    <row r="26" spans="1:17" ht="13.5" thickBot="1" x14ac:dyDescent="0.25">
      <c r="A26" s="32">
        <f t="shared" si="6"/>
        <v>43272</v>
      </c>
      <c r="B26" s="33">
        <v>9.5</v>
      </c>
      <c r="C26" s="34">
        <v>1.8481771137309833</v>
      </c>
      <c r="D26" s="45">
        <f t="shared" si="0"/>
        <v>5.1402000000000001</v>
      </c>
      <c r="E26" s="33">
        <v>10.4</v>
      </c>
      <c r="F26" s="34">
        <v>2.0209871745044694</v>
      </c>
      <c r="G26" s="45">
        <f>ROUND(E26/F26,4)</f>
        <v>5.1459999999999999</v>
      </c>
      <c r="H26" s="46">
        <f t="shared" si="2"/>
        <v>5.1430999999999996</v>
      </c>
      <c r="I26" s="47">
        <f t="shared" si="3"/>
        <v>5.6386226205991458E-2</v>
      </c>
      <c r="J26" s="48" t="str">
        <f t="shared" si="4"/>
        <v>O.K.</v>
      </c>
      <c r="K26" s="49">
        <v>68.5</v>
      </c>
      <c r="L26" s="50">
        <v>72</v>
      </c>
      <c r="M26" s="51">
        <f t="shared" si="5"/>
        <v>58.42</v>
      </c>
      <c r="N26" s="52" t="s">
        <v>231</v>
      </c>
      <c r="P26" s="26">
        <v>5.5</v>
      </c>
      <c r="Q26" s="26">
        <v>4.5</v>
      </c>
    </row>
    <row r="27" spans="1:17" ht="13.5" thickBot="1" x14ac:dyDescent="0.25">
      <c r="A27" s="32">
        <f t="shared" si="6"/>
        <v>43273</v>
      </c>
      <c r="B27" s="33">
        <v>8.4</v>
      </c>
      <c r="C27" s="34">
        <v>1.6930000000000001</v>
      </c>
      <c r="D27" s="45">
        <f t="shared" si="0"/>
        <v>4.9615999999999998</v>
      </c>
      <c r="E27" s="33">
        <v>9.5</v>
      </c>
      <c r="F27" s="34">
        <v>1.8575999999999999</v>
      </c>
      <c r="G27" s="45">
        <f>ROUND(E27/F27,4)</f>
        <v>5.1140999999999996</v>
      </c>
      <c r="H27" s="46">
        <f t="shared" si="2"/>
        <v>5.0378999999999996</v>
      </c>
      <c r="I27" s="47">
        <f t="shared" si="3"/>
        <v>1.5125349848151024</v>
      </c>
      <c r="J27" s="48" t="str">
        <f t="shared" si="4"/>
        <v>O.K.</v>
      </c>
      <c r="K27" s="49">
        <v>65.7</v>
      </c>
      <c r="L27" s="50">
        <v>69</v>
      </c>
      <c r="M27" s="51">
        <f t="shared" si="5"/>
        <v>54.540000000000006</v>
      </c>
      <c r="N27" s="52" t="s">
        <v>236</v>
      </c>
      <c r="O27" s="26" t="s">
        <v>210</v>
      </c>
      <c r="P27" s="26">
        <v>5.5</v>
      </c>
      <c r="Q27" s="26">
        <v>4.5</v>
      </c>
    </row>
    <row r="28" spans="1:17" ht="13.5" thickBot="1" x14ac:dyDescent="0.25">
      <c r="A28" s="32">
        <f t="shared" si="6"/>
        <v>43274</v>
      </c>
      <c r="B28" s="33">
        <v>7.8</v>
      </c>
      <c r="C28" s="34">
        <v>1.5310999999999999</v>
      </c>
      <c r="D28" s="45">
        <f t="shared" si="0"/>
        <v>5.0944000000000003</v>
      </c>
      <c r="E28" s="33">
        <v>8.8000000000000007</v>
      </c>
      <c r="F28" s="34">
        <v>1.69</v>
      </c>
      <c r="G28" s="45">
        <f t="shared" si="1"/>
        <v>5.2070999999999996</v>
      </c>
      <c r="H28" s="46">
        <f t="shared" si="2"/>
        <v>5.1508000000000003</v>
      </c>
      <c r="I28" s="47">
        <f t="shared" si="3"/>
        <v>1.0930340917915538</v>
      </c>
      <c r="J28" s="48" t="str">
        <f t="shared" si="4"/>
        <v>O.K.</v>
      </c>
      <c r="K28" s="49">
        <v>64.599999999999994</v>
      </c>
      <c r="L28" s="50">
        <v>62</v>
      </c>
      <c r="M28" s="51">
        <f t="shared" si="5"/>
        <v>50.919999999999995</v>
      </c>
      <c r="N28" s="52" t="s">
        <v>236</v>
      </c>
      <c r="P28" s="26">
        <v>5.5</v>
      </c>
      <c r="Q28" s="26">
        <v>4.5</v>
      </c>
    </row>
    <row r="29" spans="1:17" ht="13.5" thickBot="1" x14ac:dyDescent="0.25">
      <c r="A29" s="32">
        <f t="shared" ref="A29:A36" si="7">A28+1</f>
        <v>43275</v>
      </c>
      <c r="B29" s="33">
        <v>8.6</v>
      </c>
      <c r="C29" s="34">
        <v>1.7713000000000001</v>
      </c>
      <c r="D29" s="45">
        <f>ROUND(B29/C29,4)</f>
        <v>4.8552</v>
      </c>
      <c r="E29" s="33">
        <v>9</v>
      </c>
      <c r="F29" s="34">
        <v>1.909</v>
      </c>
      <c r="G29" s="45">
        <f t="shared" ref="G29:G38" si="8">ROUND(E29/F29,4)</f>
        <v>4.7145000000000001</v>
      </c>
      <c r="H29" s="46">
        <f t="shared" ref="H29:H38" si="9">ROUND(AVERAGE(D29,G29),4)</f>
        <v>4.7849000000000004</v>
      </c>
      <c r="I29" s="47">
        <f t="shared" ref="I29:I38" si="10">ABS((G29-H29)/H29*100)</f>
        <v>1.4712951158853944</v>
      </c>
      <c r="J29" s="48" t="str">
        <f t="shared" ref="J29:J38" si="11">(IF((ABS(I29))&lt;(ABS(2)),"O.K.","NO CUMPLE"))</f>
        <v>O.K.</v>
      </c>
      <c r="K29" s="49">
        <v>62.4</v>
      </c>
      <c r="L29" s="50">
        <v>57</v>
      </c>
      <c r="M29" s="51">
        <f t="shared" ref="M29:M37" si="12">K29-((9*(100-L29))/25)</f>
        <v>46.92</v>
      </c>
      <c r="N29" s="52" t="s">
        <v>236</v>
      </c>
      <c r="P29" s="26">
        <v>5.5</v>
      </c>
      <c r="Q29" s="26">
        <v>4.5</v>
      </c>
    </row>
    <row r="30" spans="1:17" ht="13.5" thickBot="1" x14ac:dyDescent="0.25">
      <c r="A30" s="32">
        <f t="shared" si="7"/>
        <v>43276</v>
      </c>
      <c r="B30" s="33">
        <v>10.199999999999999</v>
      </c>
      <c r="C30" s="34">
        <v>2.0402</v>
      </c>
      <c r="D30" s="45">
        <f>ROUND(B30/C30,4)</f>
        <v>4.9995000000000003</v>
      </c>
      <c r="E30" s="33">
        <v>10.3</v>
      </c>
      <c r="F30" s="34">
        <v>2.0901999999999998</v>
      </c>
      <c r="G30" s="45">
        <f t="shared" si="8"/>
        <v>4.9278000000000004</v>
      </c>
      <c r="H30" s="46">
        <f t="shared" si="9"/>
        <v>4.9637000000000002</v>
      </c>
      <c r="I30" s="47">
        <f t="shared" si="10"/>
        <v>0.72325080081390536</v>
      </c>
      <c r="J30" s="48" t="str">
        <f t="shared" si="11"/>
        <v>O.K.</v>
      </c>
      <c r="K30" s="49">
        <v>68.7</v>
      </c>
      <c r="L30" s="50">
        <v>63</v>
      </c>
      <c r="M30" s="51">
        <f t="shared" si="12"/>
        <v>55.38</v>
      </c>
      <c r="N30" s="52" t="s">
        <v>236</v>
      </c>
      <c r="P30" s="26">
        <v>5.5</v>
      </c>
      <c r="Q30" s="26">
        <v>4.5</v>
      </c>
    </row>
    <row r="31" spans="1:17" ht="13.5" thickBot="1" x14ac:dyDescent="0.25">
      <c r="A31" s="32">
        <f t="shared" si="7"/>
        <v>43277</v>
      </c>
      <c r="B31" s="33">
        <v>9.8000000000000007</v>
      </c>
      <c r="C31" s="34">
        <v>1.9191</v>
      </c>
      <c r="D31" s="45">
        <f t="shared" ref="D31:D38" si="13">ROUND(B31/C31,4)</f>
        <v>5.1066000000000003</v>
      </c>
      <c r="E31" s="33">
        <v>8.5</v>
      </c>
      <c r="F31" s="34">
        <v>1.7000999999999999</v>
      </c>
      <c r="G31" s="45">
        <f t="shared" si="8"/>
        <v>4.9996999999999998</v>
      </c>
      <c r="H31" s="46">
        <f t="shared" si="9"/>
        <v>5.0532000000000004</v>
      </c>
      <c r="I31" s="47">
        <f t="shared" si="10"/>
        <v>1.0587350589725431</v>
      </c>
      <c r="J31" s="48" t="str">
        <f t="shared" si="11"/>
        <v>O.K.</v>
      </c>
      <c r="K31" s="49">
        <v>63.1</v>
      </c>
      <c r="L31" s="50">
        <v>52</v>
      </c>
      <c r="M31" s="51">
        <f t="shared" si="12"/>
        <v>45.82</v>
      </c>
      <c r="N31" s="52" t="s">
        <v>236</v>
      </c>
      <c r="P31" s="26">
        <v>5.5</v>
      </c>
      <c r="Q31" s="26">
        <v>4.5</v>
      </c>
    </row>
    <row r="32" spans="1:17" ht="13.5" thickBot="1" x14ac:dyDescent="0.25">
      <c r="A32" s="32">
        <f t="shared" si="7"/>
        <v>43278</v>
      </c>
      <c r="B32" s="33">
        <v>8.5</v>
      </c>
      <c r="C32" s="34">
        <v>1.649</v>
      </c>
      <c r="D32" s="221">
        <f>ROUND(B32/C32,4)</f>
        <v>5.1546000000000003</v>
      </c>
      <c r="E32" s="33">
        <v>9.9</v>
      </c>
      <c r="F32" s="34">
        <v>1.9061999999999999</v>
      </c>
      <c r="G32" s="45">
        <f t="shared" si="8"/>
        <v>5.1936</v>
      </c>
      <c r="H32" s="46">
        <f t="shared" si="9"/>
        <v>5.1741000000000001</v>
      </c>
      <c r="I32" s="47">
        <f t="shared" si="10"/>
        <v>0.37687713805299183</v>
      </c>
      <c r="J32" s="48" t="str">
        <f t="shared" si="11"/>
        <v>O.K.</v>
      </c>
      <c r="K32" s="49">
        <v>60.5</v>
      </c>
      <c r="L32" s="50">
        <v>50</v>
      </c>
      <c r="M32" s="51">
        <f t="shared" si="12"/>
        <v>42.5</v>
      </c>
      <c r="N32" s="52" t="s">
        <v>236</v>
      </c>
      <c r="P32" s="26">
        <v>5.5</v>
      </c>
      <c r="Q32" s="26">
        <v>4.5</v>
      </c>
    </row>
    <row r="33" spans="1:17" ht="13.5" thickBot="1" x14ac:dyDescent="0.25">
      <c r="A33" s="32">
        <f t="shared" si="7"/>
        <v>43279</v>
      </c>
      <c r="B33" s="33"/>
      <c r="C33" s="34"/>
      <c r="D33" s="45" t="e">
        <f t="shared" si="13"/>
        <v>#DIV/0!</v>
      </c>
      <c r="E33" s="33"/>
      <c r="F33" s="34"/>
      <c r="G33" s="45" t="e">
        <f t="shared" si="8"/>
        <v>#DIV/0!</v>
      </c>
      <c r="H33" s="46" t="e">
        <f t="shared" si="9"/>
        <v>#DIV/0!</v>
      </c>
      <c r="I33" s="47" t="e">
        <f t="shared" si="10"/>
        <v>#DIV/0!</v>
      </c>
      <c r="J33" s="48" t="e">
        <f t="shared" si="11"/>
        <v>#DIV/0!</v>
      </c>
      <c r="K33" s="49"/>
      <c r="L33" s="50"/>
      <c r="M33" s="51">
        <f t="shared" si="12"/>
        <v>-36</v>
      </c>
      <c r="N33" s="52"/>
      <c r="P33" s="26">
        <v>5.5</v>
      </c>
      <c r="Q33" s="26">
        <v>4.5</v>
      </c>
    </row>
    <row r="34" spans="1:17" ht="13.5" thickBot="1" x14ac:dyDescent="0.25">
      <c r="A34" s="32">
        <f t="shared" si="7"/>
        <v>43280</v>
      </c>
      <c r="B34" s="33"/>
      <c r="C34" s="34"/>
      <c r="D34" s="45" t="e">
        <f t="shared" si="13"/>
        <v>#DIV/0!</v>
      </c>
      <c r="E34" s="33"/>
      <c r="F34" s="34"/>
      <c r="G34" s="45" t="e">
        <f t="shared" si="8"/>
        <v>#DIV/0!</v>
      </c>
      <c r="H34" s="46" t="e">
        <f t="shared" si="9"/>
        <v>#DIV/0!</v>
      </c>
      <c r="I34" s="47" t="e">
        <f t="shared" si="10"/>
        <v>#DIV/0!</v>
      </c>
      <c r="J34" s="48" t="e">
        <f t="shared" si="11"/>
        <v>#DIV/0!</v>
      </c>
      <c r="K34" s="49"/>
      <c r="L34" s="50"/>
      <c r="M34" s="51">
        <f t="shared" si="12"/>
        <v>-36</v>
      </c>
      <c r="N34" s="52"/>
      <c r="P34" s="26">
        <v>5.5</v>
      </c>
      <c r="Q34" s="26">
        <v>4.5</v>
      </c>
    </row>
    <row r="35" spans="1:17" ht="13.5" thickBot="1" x14ac:dyDescent="0.25">
      <c r="A35" s="32">
        <f t="shared" si="7"/>
        <v>43281</v>
      </c>
      <c r="B35" s="33"/>
      <c r="C35" s="55"/>
      <c r="D35" s="45" t="e">
        <f t="shared" si="13"/>
        <v>#DIV/0!</v>
      </c>
      <c r="E35" s="33"/>
      <c r="F35" s="55"/>
      <c r="G35" s="45" t="e">
        <f t="shared" si="8"/>
        <v>#DIV/0!</v>
      </c>
      <c r="H35" s="46" t="e">
        <f t="shared" si="9"/>
        <v>#DIV/0!</v>
      </c>
      <c r="I35" s="47" t="e">
        <f t="shared" si="10"/>
        <v>#DIV/0!</v>
      </c>
      <c r="J35" s="48" t="e">
        <f t="shared" si="11"/>
        <v>#DIV/0!</v>
      </c>
      <c r="K35" s="49"/>
      <c r="L35" s="50"/>
      <c r="M35" s="51">
        <f t="shared" si="12"/>
        <v>-36</v>
      </c>
      <c r="N35" s="52"/>
      <c r="P35" s="26">
        <v>5.5</v>
      </c>
      <c r="Q35" s="26">
        <v>4.5</v>
      </c>
    </row>
    <row r="36" spans="1:17" x14ac:dyDescent="0.2">
      <c r="A36" s="32">
        <f t="shared" si="7"/>
        <v>43282</v>
      </c>
      <c r="B36" s="54"/>
      <c r="C36" s="55"/>
      <c r="D36" s="45" t="e">
        <f t="shared" si="13"/>
        <v>#DIV/0!</v>
      </c>
      <c r="E36" s="54"/>
      <c r="F36" s="55"/>
      <c r="G36" s="45" t="e">
        <f t="shared" si="8"/>
        <v>#DIV/0!</v>
      </c>
      <c r="H36" s="46" t="e">
        <f t="shared" si="9"/>
        <v>#DIV/0!</v>
      </c>
      <c r="I36" s="47" t="e">
        <f t="shared" si="10"/>
        <v>#DIV/0!</v>
      </c>
      <c r="J36" s="48" t="e">
        <f t="shared" si="11"/>
        <v>#DIV/0!</v>
      </c>
      <c r="K36" s="40"/>
      <c r="L36" s="41"/>
      <c r="M36" s="56">
        <f>K36-((9*(100-L36))/25)</f>
        <v>-36</v>
      </c>
      <c r="N36" s="52"/>
      <c r="P36" s="26">
        <v>5.5</v>
      </c>
      <c r="Q36" s="26">
        <v>4.5</v>
      </c>
    </row>
    <row r="37" spans="1:17" x14ac:dyDescent="0.2">
      <c r="A37" s="44"/>
      <c r="B37" s="54"/>
      <c r="C37" s="55"/>
      <c r="D37" s="45" t="e">
        <f t="shared" si="13"/>
        <v>#DIV/0!</v>
      </c>
      <c r="E37" s="54"/>
      <c r="F37" s="55"/>
      <c r="G37" s="45" t="e">
        <f>ROUND(E37/F37,4)</f>
        <v>#DIV/0!</v>
      </c>
      <c r="H37" s="46" t="e">
        <f>ROUND(AVERAGE(D37,G37),4)</f>
        <v>#DIV/0!</v>
      </c>
      <c r="I37" s="47" t="e">
        <f>ABS((G37-H37)/H37*100)</f>
        <v>#DIV/0!</v>
      </c>
      <c r="J37" s="48" t="e">
        <f>(IF((ABS(I37))&lt;(ABS(2)),"O.K.","NO CUMPLE"))</f>
        <v>#DIV/0!</v>
      </c>
      <c r="K37" s="40"/>
      <c r="L37" s="41"/>
      <c r="M37" s="56">
        <f t="shared" si="12"/>
        <v>-36</v>
      </c>
      <c r="N37" s="52"/>
    </row>
    <row r="38" spans="1:17" ht="13.5" thickBot="1" x14ac:dyDescent="0.25">
      <c r="A38" s="44"/>
      <c r="B38" s="57"/>
      <c r="C38" s="58"/>
      <c r="D38" s="59" t="e">
        <f t="shared" si="13"/>
        <v>#DIV/0!</v>
      </c>
      <c r="E38" s="60"/>
      <c r="F38" s="61"/>
      <c r="G38" s="59" t="e">
        <f t="shared" si="8"/>
        <v>#DIV/0!</v>
      </c>
      <c r="H38" s="62" t="e">
        <f t="shared" si="9"/>
        <v>#DIV/0!</v>
      </c>
      <c r="I38" s="63" t="e">
        <f t="shared" si="10"/>
        <v>#DIV/0!</v>
      </c>
      <c r="J38" s="64" t="e">
        <f t="shared" si="11"/>
        <v>#DIV/0!</v>
      </c>
      <c r="K38" s="65"/>
      <c r="L38" s="66"/>
      <c r="M38" s="67">
        <f>K38-((9*(100-L38))/25)</f>
        <v>-36</v>
      </c>
      <c r="N38" s="68"/>
      <c r="P38" s="26">
        <v>5.5</v>
      </c>
      <c r="Q38" s="26">
        <v>4.5</v>
      </c>
    </row>
    <row r="39" spans="1:17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69"/>
      <c r="M39" s="26"/>
      <c r="N39" s="26"/>
    </row>
    <row r="40" spans="1:17" x14ac:dyDescent="0.2">
      <c r="A40" s="26"/>
      <c r="B40" s="26"/>
      <c r="C40" s="26"/>
      <c r="D40" s="226">
        <f>C31</f>
        <v>1.9191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</row>
    <row r="41" spans="1:17" x14ac:dyDescent="0.2">
      <c r="A41" s="26"/>
      <c r="B41" s="26"/>
      <c r="C41" s="26"/>
      <c r="D41" s="70"/>
      <c r="E41" s="70"/>
      <c r="F41" s="26"/>
      <c r="G41" s="26"/>
      <c r="H41" s="26"/>
      <c r="I41" s="26"/>
      <c r="J41" s="26"/>
      <c r="K41" s="26"/>
      <c r="L41" s="26"/>
      <c r="M41" s="26"/>
      <c r="N41" s="26"/>
    </row>
    <row r="42" spans="1:17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</row>
    <row r="43" spans="1:17" x14ac:dyDescent="0.2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</row>
    <row r="44" spans="1:17" x14ac:dyDescent="0.2">
      <c r="A44" s="26"/>
      <c r="B44" s="26"/>
      <c r="C44" s="26"/>
      <c r="D44" s="26"/>
      <c r="E44" s="71"/>
      <c r="F44" s="26"/>
      <c r="G44" s="26"/>
      <c r="H44" s="26"/>
      <c r="I44" s="26"/>
      <c r="J44" s="26"/>
      <c r="K44" s="26"/>
      <c r="L44" s="26"/>
      <c r="M44" s="26"/>
      <c r="N44" s="26"/>
    </row>
    <row r="45" spans="1:17" x14ac:dyDescent="0.2">
      <c r="A45" s="26"/>
      <c r="B45" s="26"/>
      <c r="C45" s="26"/>
      <c r="D45" s="26"/>
      <c r="E45" s="70"/>
      <c r="F45" s="26"/>
      <c r="G45" s="26"/>
      <c r="H45" s="26"/>
      <c r="I45" s="26"/>
      <c r="J45" s="26"/>
      <c r="K45" s="26"/>
      <c r="L45" s="26"/>
      <c r="M45" s="26"/>
      <c r="N45" s="26"/>
    </row>
    <row r="46" spans="1:17" x14ac:dyDescent="0.2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</row>
    <row r="47" spans="1:17" x14ac:dyDescent="0.2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</row>
    <row r="48" spans="1:17" x14ac:dyDescent="0.2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</row>
    <row r="49" spans="1:14" x14ac:dyDescent="0.2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</row>
    <row r="50" spans="1:14" x14ac:dyDescent="0.2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</row>
    <row r="51" spans="1:14" x14ac:dyDescent="0.2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</row>
    <row r="52" spans="1:14" x14ac:dyDescent="0.2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</row>
    <row r="53" spans="1:14" x14ac:dyDescent="0.2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</row>
    <row r="54" spans="1:14" x14ac:dyDescent="0.2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</row>
    <row r="55" spans="1:14" x14ac:dyDescent="0.2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</row>
    <row r="56" spans="1:14" x14ac:dyDescent="0.2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</row>
    <row r="57" spans="1:14" x14ac:dyDescent="0.2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</row>
    <row r="58" spans="1:14" x14ac:dyDescent="0.2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</row>
    <row r="59" spans="1:14" x14ac:dyDescent="0.2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</row>
    <row r="60" spans="1:14" x14ac:dyDescent="0.2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</row>
    <row r="61" spans="1:14" x14ac:dyDescent="0.2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</row>
    <row r="62" spans="1:14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</row>
    <row r="63" spans="1:14" x14ac:dyDescent="0.2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</row>
    <row r="64" spans="1:14" x14ac:dyDescent="0.2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</row>
    <row r="65" spans="1:14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</row>
    <row r="66" spans="1:14" s="26" customFormat="1" x14ac:dyDescent="0.2"/>
    <row r="67" spans="1:14" s="26" customFormat="1" x14ac:dyDescent="0.2"/>
    <row r="68" spans="1:14" s="26" customFormat="1" x14ac:dyDescent="0.2"/>
    <row r="69" spans="1:14" s="26" customFormat="1" x14ac:dyDescent="0.2"/>
    <row r="70" spans="1:14" s="26" customFormat="1" x14ac:dyDescent="0.2"/>
    <row r="71" spans="1:14" s="26" customFormat="1" x14ac:dyDescent="0.2"/>
    <row r="72" spans="1:14" s="26" customFormat="1" x14ac:dyDescent="0.2"/>
    <row r="73" spans="1:14" s="26" customFormat="1" x14ac:dyDescent="0.2"/>
    <row r="74" spans="1:14" s="26" customFormat="1" x14ac:dyDescent="0.2"/>
    <row r="75" spans="1:14" s="26" customFormat="1" x14ac:dyDescent="0.2"/>
    <row r="76" spans="1:14" s="26" customFormat="1" x14ac:dyDescent="0.2"/>
    <row r="77" spans="1:14" s="26" customFormat="1" x14ac:dyDescent="0.2"/>
    <row r="78" spans="1:14" s="26" customFormat="1" x14ac:dyDescent="0.2"/>
    <row r="79" spans="1:14" s="26" customFormat="1" x14ac:dyDescent="0.2"/>
    <row r="80" spans="1:14" s="26" customFormat="1" x14ac:dyDescent="0.2"/>
    <row r="81" s="26" customFormat="1" x14ac:dyDescent="0.2"/>
    <row r="82" s="26" customFormat="1" x14ac:dyDescent="0.2"/>
    <row r="83" s="26" customFormat="1" x14ac:dyDescent="0.2"/>
    <row r="84" s="26" customFormat="1" x14ac:dyDescent="0.2"/>
    <row r="85" s="26" customFormat="1" x14ac:dyDescent="0.2"/>
    <row r="86" s="26" customFormat="1" x14ac:dyDescent="0.2"/>
    <row r="87" s="26" customFormat="1" x14ac:dyDescent="0.2"/>
    <row r="88" s="26" customFormat="1" x14ac:dyDescent="0.2"/>
    <row r="89" s="26" customFormat="1" x14ac:dyDescent="0.2"/>
    <row r="90" s="26" customFormat="1" x14ac:dyDescent="0.2"/>
    <row r="91" s="26" customFormat="1" x14ac:dyDescent="0.2"/>
    <row r="92" s="26" customFormat="1" x14ac:dyDescent="0.2"/>
    <row r="93" s="26" customFormat="1" x14ac:dyDescent="0.2"/>
    <row r="94" s="26" customFormat="1" x14ac:dyDescent="0.2"/>
    <row r="95" s="26" customFormat="1" x14ac:dyDescent="0.2"/>
    <row r="96" s="26" customFormat="1" x14ac:dyDescent="0.2"/>
    <row r="97" s="26" customFormat="1" x14ac:dyDescent="0.2"/>
    <row r="98" s="26" customFormat="1" x14ac:dyDescent="0.2"/>
    <row r="99" s="26" customFormat="1" x14ac:dyDescent="0.2"/>
    <row r="100" s="26" customFormat="1" x14ac:dyDescent="0.2"/>
    <row r="101" s="26" customFormat="1" x14ac:dyDescent="0.2"/>
    <row r="102" s="26" customFormat="1" x14ac:dyDescent="0.2"/>
    <row r="103" s="26" customFormat="1" x14ac:dyDescent="0.2"/>
    <row r="104" s="26" customFormat="1" x14ac:dyDescent="0.2"/>
    <row r="105" s="26" customFormat="1" x14ac:dyDescent="0.2"/>
    <row r="106" s="26" customFormat="1" x14ac:dyDescent="0.2"/>
    <row r="107" s="26" customFormat="1" x14ac:dyDescent="0.2"/>
    <row r="108" s="26" customFormat="1" x14ac:dyDescent="0.2"/>
    <row r="109" s="26" customFormat="1" x14ac:dyDescent="0.2"/>
    <row r="110" s="26" customFormat="1" x14ac:dyDescent="0.2"/>
    <row r="111" s="26" customFormat="1" x14ac:dyDescent="0.2"/>
    <row r="112" s="26" customFormat="1" x14ac:dyDescent="0.2"/>
    <row r="113" s="26" customFormat="1" x14ac:dyDescent="0.2"/>
    <row r="114" s="26" customFormat="1" x14ac:dyDescent="0.2"/>
    <row r="115" s="26" customFormat="1" x14ac:dyDescent="0.2"/>
    <row r="116" s="26" customFormat="1" x14ac:dyDescent="0.2"/>
    <row r="117" s="26" customFormat="1" x14ac:dyDescent="0.2"/>
    <row r="118" s="26" customFormat="1" x14ac:dyDescent="0.2"/>
    <row r="119" s="26" customFormat="1" x14ac:dyDescent="0.2"/>
    <row r="120" s="26" customFormat="1" x14ac:dyDescent="0.2"/>
    <row r="121" s="26" customFormat="1" x14ac:dyDescent="0.2"/>
    <row r="122" s="26" customFormat="1" x14ac:dyDescent="0.2"/>
    <row r="123" s="26" customFormat="1" x14ac:dyDescent="0.2"/>
    <row r="124" s="26" customFormat="1" x14ac:dyDescent="0.2"/>
    <row r="125" s="26" customFormat="1" x14ac:dyDescent="0.2"/>
    <row r="126" s="26" customFormat="1" x14ac:dyDescent="0.2"/>
    <row r="127" s="26" customFormat="1" x14ac:dyDescent="0.2"/>
    <row r="128" s="26" customFormat="1" x14ac:dyDescent="0.2"/>
    <row r="129" s="26" customFormat="1" x14ac:dyDescent="0.2"/>
    <row r="130" s="26" customFormat="1" x14ac:dyDescent="0.2"/>
    <row r="131" s="26" customFormat="1" x14ac:dyDescent="0.2"/>
    <row r="132" s="26" customFormat="1" x14ac:dyDescent="0.2"/>
    <row r="133" s="26" customFormat="1" x14ac:dyDescent="0.2"/>
    <row r="134" s="26" customFormat="1" x14ac:dyDescent="0.2"/>
    <row r="135" s="26" customFormat="1" x14ac:dyDescent="0.2"/>
    <row r="136" s="26" customFormat="1" x14ac:dyDescent="0.2"/>
    <row r="137" s="26" customFormat="1" x14ac:dyDescent="0.2"/>
    <row r="138" s="26" customFormat="1" x14ac:dyDescent="0.2"/>
    <row r="139" s="26" customFormat="1" x14ac:dyDescent="0.2"/>
    <row r="140" s="26" customFormat="1" x14ac:dyDescent="0.2"/>
    <row r="141" s="26" customFormat="1" x14ac:dyDescent="0.2"/>
    <row r="142" s="26" customFormat="1" x14ac:dyDescent="0.2"/>
    <row r="143" s="26" customFormat="1" x14ac:dyDescent="0.2"/>
    <row r="144" s="26" customFormat="1" x14ac:dyDescent="0.2"/>
    <row r="145" s="26" customFormat="1" x14ac:dyDescent="0.2"/>
    <row r="146" s="26" customFormat="1" x14ac:dyDescent="0.2"/>
    <row r="147" s="26" customFormat="1" x14ac:dyDescent="0.2"/>
    <row r="148" s="26" customFormat="1" x14ac:dyDescent="0.2"/>
    <row r="149" s="26" customFormat="1" x14ac:dyDescent="0.2"/>
    <row r="150" s="26" customFormat="1" x14ac:dyDescent="0.2"/>
    <row r="151" s="26" customFormat="1" x14ac:dyDescent="0.2"/>
    <row r="152" s="26" customFormat="1" x14ac:dyDescent="0.2"/>
    <row r="153" s="26" customFormat="1" x14ac:dyDescent="0.2"/>
    <row r="154" s="26" customFormat="1" x14ac:dyDescent="0.2"/>
    <row r="155" s="26" customFormat="1" x14ac:dyDescent="0.2"/>
    <row r="156" s="26" customFormat="1" x14ac:dyDescent="0.2"/>
    <row r="157" s="26" customFormat="1" x14ac:dyDescent="0.2"/>
    <row r="158" s="26" customFormat="1" x14ac:dyDescent="0.2"/>
    <row r="159" s="26" customFormat="1" x14ac:dyDescent="0.2"/>
    <row r="160" s="26" customFormat="1" x14ac:dyDescent="0.2"/>
    <row r="161" s="26" customFormat="1" x14ac:dyDescent="0.2"/>
    <row r="162" s="26" customFormat="1" x14ac:dyDescent="0.2"/>
    <row r="163" s="26" customFormat="1" x14ac:dyDescent="0.2"/>
    <row r="164" s="26" customFormat="1" x14ac:dyDescent="0.2"/>
    <row r="165" s="26" customFormat="1" x14ac:dyDescent="0.2"/>
    <row r="166" s="26" customFormat="1" x14ac:dyDescent="0.2"/>
    <row r="167" s="26" customFormat="1" x14ac:dyDescent="0.2"/>
    <row r="168" s="26" customFormat="1" x14ac:dyDescent="0.2"/>
    <row r="169" s="26" customFormat="1" x14ac:dyDescent="0.2"/>
    <row r="170" s="26" customFormat="1" x14ac:dyDescent="0.2"/>
    <row r="171" s="26" customFormat="1" x14ac:dyDescent="0.2"/>
    <row r="172" s="26" customFormat="1" x14ac:dyDescent="0.2"/>
    <row r="173" s="26" customFormat="1" x14ac:dyDescent="0.2"/>
    <row r="174" s="26" customFormat="1" x14ac:dyDescent="0.2"/>
    <row r="175" s="26" customFormat="1" x14ac:dyDescent="0.2"/>
    <row r="176" s="26" customFormat="1" x14ac:dyDescent="0.2"/>
    <row r="177" s="26" customFormat="1" x14ac:dyDescent="0.2"/>
    <row r="178" s="26" customFormat="1" x14ac:dyDescent="0.2"/>
    <row r="179" s="26" customFormat="1" x14ac:dyDescent="0.2"/>
    <row r="180" s="26" customFormat="1" x14ac:dyDescent="0.2"/>
    <row r="181" s="26" customFormat="1" x14ac:dyDescent="0.2"/>
    <row r="182" s="26" customFormat="1" x14ac:dyDescent="0.2"/>
    <row r="183" s="26" customFormat="1" x14ac:dyDescent="0.2"/>
    <row r="184" s="26" customFormat="1" x14ac:dyDescent="0.2"/>
    <row r="185" s="26" customFormat="1" x14ac:dyDescent="0.2"/>
    <row r="186" s="26" customFormat="1" x14ac:dyDescent="0.2"/>
    <row r="187" s="26" customFormat="1" x14ac:dyDescent="0.2"/>
    <row r="188" s="26" customFormat="1" x14ac:dyDescent="0.2"/>
    <row r="189" s="26" customFormat="1" x14ac:dyDescent="0.2"/>
    <row r="190" s="26" customFormat="1" x14ac:dyDescent="0.2"/>
    <row r="191" s="26" customFormat="1" x14ac:dyDescent="0.2"/>
    <row r="192" s="26" customFormat="1" x14ac:dyDescent="0.2"/>
    <row r="193" s="26" customFormat="1" x14ac:dyDescent="0.2"/>
    <row r="194" s="26" customFormat="1" x14ac:dyDescent="0.2"/>
    <row r="195" s="26" customFormat="1" x14ac:dyDescent="0.2"/>
    <row r="196" s="26" customFormat="1" x14ac:dyDescent="0.2"/>
    <row r="197" s="26" customFormat="1" x14ac:dyDescent="0.2"/>
    <row r="198" s="26" customFormat="1" x14ac:dyDescent="0.2"/>
    <row r="199" s="26" customFormat="1" x14ac:dyDescent="0.2"/>
    <row r="200" s="26" customFormat="1" x14ac:dyDescent="0.2"/>
    <row r="201" s="26" customFormat="1" x14ac:dyDescent="0.2"/>
    <row r="202" s="26" customFormat="1" x14ac:dyDescent="0.2"/>
    <row r="203" s="26" customFormat="1" x14ac:dyDescent="0.2"/>
    <row r="204" s="26" customFormat="1" x14ac:dyDescent="0.2"/>
    <row r="205" s="26" customFormat="1" x14ac:dyDescent="0.2"/>
    <row r="206" s="26" customFormat="1" x14ac:dyDescent="0.2"/>
    <row r="207" s="26" customFormat="1" x14ac:dyDescent="0.2"/>
    <row r="208" s="26" customFormat="1" x14ac:dyDescent="0.2"/>
    <row r="209" s="26" customFormat="1" x14ac:dyDescent="0.2"/>
    <row r="210" s="26" customFormat="1" x14ac:dyDescent="0.2"/>
    <row r="211" s="26" customFormat="1" x14ac:dyDescent="0.2"/>
    <row r="212" s="26" customFormat="1" x14ac:dyDescent="0.2"/>
    <row r="213" s="26" customFormat="1" x14ac:dyDescent="0.2"/>
    <row r="214" s="26" customFormat="1" x14ac:dyDescent="0.2"/>
    <row r="215" s="26" customFormat="1" x14ac:dyDescent="0.2"/>
    <row r="216" s="26" customFormat="1" x14ac:dyDescent="0.2"/>
    <row r="217" s="26" customFormat="1" x14ac:dyDescent="0.2"/>
    <row r="218" s="26" customFormat="1" x14ac:dyDescent="0.2"/>
    <row r="219" s="26" customFormat="1" x14ac:dyDescent="0.2"/>
    <row r="220" s="26" customFormat="1" x14ac:dyDescent="0.2"/>
    <row r="221" s="26" customFormat="1" x14ac:dyDescent="0.2"/>
    <row r="222" s="26" customFormat="1" x14ac:dyDescent="0.2"/>
    <row r="223" s="26" customFormat="1" x14ac:dyDescent="0.2"/>
    <row r="224" s="26" customFormat="1" x14ac:dyDescent="0.2"/>
    <row r="225" s="26" customFormat="1" x14ac:dyDescent="0.2"/>
    <row r="226" s="26" customFormat="1" x14ac:dyDescent="0.2"/>
    <row r="227" s="26" customFormat="1" x14ac:dyDescent="0.2"/>
    <row r="228" s="26" customFormat="1" x14ac:dyDescent="0.2"/>
    <row r="229" s="26" customFormat="1" x14ac:dyDescent="0.2"/>
    <row r="230" s="26" customFormat="1" x14ac:dyDescent="0.2"/>
    <row r="231" s="26" customFormat="1" x14ac:dyDescent="0.2"/>
    <row r="232" s="26" customFormat="1" x14ac:dyDescent="0.2"/>
    <row r="233" s="26" customFormat="1" x14ac:dyDescent="0.2"/>
    <row r="234" s="26" customFormat="1" x14ac:dyDescent="0.2"/>
    <row r="235" s="26" customFormat="1" x14ac:dyDescent="0.2"/>
    <row r="236" s="26" customFormat="1" x14ac:dyDescent="0.2"/>
    <row r="237" s="26" customFormat="1" x14ac:dyDescent="0.2"/>
    <row r="238" s="26" customFormat="1" x14ac:dyDescent="0.2"/>
    <row r="239" s="26" customFormat="1" x14ac:dyDescent="0.2"/>
    <row r="240" s="26" customFormat="1" x14ac:dyDescent="0.2"/>
    <row r="241" s="26" customFormat="1" x14ac:dyDescent="0.2"/>
    <row r="242" s="26" customFormat="1" x14ac:dyDescent="0.2"/>
    <row r="243" s="26" customFormat="1" x14ac:dyDescent="0.2"/>
    <row r="244" s="26" customFormat="1" x14ac:dyDescent="0.2"/>
    <row r="245" s="26" customFormat="1" x14ac:dyDescent="0.2"/>
    <row r="246" s="26" customFormat="1" x14ac:dyDescent="0.2"/>
    <row r="247" s="26" customFormat="1" x14ac:dyDescent="0.2"/>
    <row r="248" s="26" customFormat="1" x14ac:dyDescent="0.2"/>
    <row r="249" s="26" customFormat="1" x14ac:dyDescent="0.2"/>
    <row r="250" s="26" customFormat="1" x14ac:dyDescent="0.2"/>
    <row r="251" s="26" customFormat="1" x14ac:dyDescent="0.2"/>
    <row r="252" s="26" customFormat="1" x14ac:dyDescent="0.2"/>
    <row r="253" s="26" customFormat="1" x14ac:dyDescent="0.2"/>
    <row r="254" s="26" customFormat="1" x14ac:dyDescent="0.2"/>
    <row r="255" s="26" customFormat="1" x14ac:dyDescent="0.2"/>
    <row r="256" s="26" customFormat="1" x14ac:dyDescent="0.2"/>
    <row r="257" s="26" customFormat="1" x14ac:dyDescent="0.2"/>
    <row r="258" s="26" customFormat="1" x14ac:dyDescent="0.2"/>
    <row r="259" s="26" customFormat="1" x14ac:dyDescent="0.2"/>
    <row r="260" s="26" customFormat="1" x14ac:dyDescent="0.2"/>
    <row r="261" s="26" customFormat="1" x14ac:dyDescent="0.2"/>
    <row r="262" s="26" customFormat="1" x14ac:dyDescent="0.2"/>
    <row r="263" s="26" customFormat="1" x14ac:dyDescent="0.2"/>
    <row r="264" s="26" customFormat="1" x14ac:dyDescent="0.2"/>
    <row r="265" s="26" customFormat="1" x14ac:dyDescent="0.2"/>
    <row r="266" s="26" customFormat="1" x14ac:dyDescent="0.2"/>
    <row r="267" s="26" customFormat="1" x14ac:dyDescent="0.2"/>
    <row r="268" s="26" customFormat="1" x14ac:dyDescent="0.2"/>
    <row r="269" s="26" customFormat="1" x14ac:dyDescent="0.2"/>
    <row r="270" s="26" customFormat="1" x14ac:dyDescent="0.2"/>
    <row r="271" s="26" customFormat="1" x14ac:dyDescent="0.2"/>
    <row r="272" s="26" customFormat="1" x14ac:dyDescent="0.2"/>
    <row r="273" s="26" customFormat="1" x14ac:dyDescent="0.2"/>
    <row r="274" s="26" customFormat="1" x14ac:dyDescent="0.2"/>
    <row r="275" s="26" customFormat="1" x14ac:dyDescent="0.2"/>
    <row r="276" s="26" customFormat="1" x14ac:dyDescent="0.2"/>
    <row r="277" s="26" customFormat="1" x14ac:dyDescent="0.2"/>
    <row r="278" s="26" customFormat="1" x14ac:dyDescent="0.2"/>
    <row r="279" s="26" customFormat="1" x14ac:dyDescent="0.2"/>
    <row r="280" s="26" customFormat="1" x14ac:dyDescent="0.2"/>
    <row r="281" s="26" customFormat="1" x14ac:dyDescent="0.2"/>
    <row r="282" s="26" customFormat="1" x14ac:dyDescent="0.2"/>
    <row r="283" s="26" customFormat="1" x14ac:dyDescent="0.2"/>
    <row r="284" s="26" customFormat="1" x14ac:dyDescent="0.2"/>
    <row r="285" s="26" customFormat="1" x14ac:dyDescent="0.2"/>
    <row r="286" s="26" customFormat="1" x14ac:dyDescent="0.2"/>
    <row r="287" s="26" customFormat="1" x14ac:dyDescent="0.2"/>
    <row r="288" s="26" customFormat="1" x14ac:dyDescent="0.2"/>
    <row r="289" s="26" customFormat="1" x14ac:dyDescent="0.2"/>
    <row r="290" s="26" customFormat="1" x14ac:dyDescent="0.2"/>
    <row r="291" s="26" customFormat="1" x14ac:dyDescent="0.2"/>
    <row r="292" s="26" customFormat="1" x14ac:dyDescent="0.2"/>
    <row r="293" s="26" customFormat="1" x14ac:dyDescent="0.2"/>
    <row r="294" s="26" customFormat="1" x14ac:dyDescent="0.2"/>
    <row r="295" s="26" customFormat="1" x14ac:dyDescent="0.2"/>
    <row r="296" s="26" customFormat="1" x14ac:dyDescent="0.2"/>
    <row r="297" s="26" customFormat="1" x14ac:dyDescent="0.2"/>
    <row r="298" s="26" customFormat="1" x14ac:dyDescent="0.2"/>
    <row r="299" s="26" customFormat="1" x14ac:dyDescent="0.2"/>
    <row r="300" s="26" customFormat="1" x14ac:dyDescent="0.2"/>
    <row r="301" s="26" customFormat="1" x14ac:dyDescent="0.2"/>
    <row r="302" s="26" customFormat="1" x14ac:dyDescent="0.2"/>
    <row r="303" s="26" customFormat="1" x14ac:dyDescent="0.2"/>
    <row r="304" s="26" customFormat="1" x14ac:dyDescent="0.2"/>
    <row r="305" s="26" customFormat="1" x14ac:dyDescent="0.2"/>
    <row r="306" s="26" customFormat="1" x14ac:dyDescent="0.2"/>
    <row r="307" s="26" customFormat="1" x14ac:dyDescent="0.2"/>
    <row r="308" s="26" customFormat="1" x14ac:dyDescent="0.2"/>
    <row r="309" s="26" customFormat="1" x14ac:dyDescent="0.2"/>
    <row r="310" s="26" customFormat="1" x14ac:dyDescent="0.2"/>
    <row r="311" s="26" customFormat="1" x14ac:dyDescent="0.2"/>
    <row r="312" s="26" customFormat="1" x14ac:dyDescent="0.2"/>
    <row r="313" s="26" customFormat="1" x14ac:dyDescent="0.2"/>
    <row r="314" s="26" customFormat="1" x14ac:dyDescent="0.2"/>
    <row r="315" s="26" customFormat="1" x14ac:dyDescent="0.2"/>
    <row r="316" s="26" customFormat="1" x14ac:dyDescent="0.2"/>
    <row r="317" s="26" customFormat="1" x14ac:dyDescent="0.2"/>
    <row r="318" s="26" customFormat="1" x14ac:dyDescent="0.2"/>
    <row r="319" s="26" customFormat="1" x14ac:dyDescent="0.2"/>
    <row r="320" s="26" customFormat="1" x14ac:dyDescent="0.2"/>
    <row r="321" s="26" customFormat="1" x14ac:dyDescent="0.2"/>
    <row r="322" s="26" customFormat="1" x14ac:dyDescent="0.2"/>
    <row r="323" s="26" customFormat="1" x14ac:dyDescent="0.2"/>
    <row r="324" s="26" customFormat="1" x14ac:dyDescent="0.2"/>
    <row r="325" s="26" customFormat="1" x14ac:dyDescent="0.2"/>
    <row r="326" s="26" customFormat="1" x14ac:dyDescent="0.2"/>
    <row r="327" s="26" customFormat="1" x14ac:dyDescent="0.2"/>
    <row r="328" s="26" customFormat="1" x14ac:dyDescent="0.2"/>
    <row r="329" s="26" customFormat="1" x14ac:dyDescent="0.2"/>
    <row r="330" s="26" customFormat="1" x14ac:dyDescent="0.2"/>
    <row r="331" s="26" customFormat="1" x14ac:dyDescent="0.2"/>
    <row r="332" s="26" customFormat="1" x14ac:dyDescent="0.2"/>
    <row r="333" s="26" customFormat="1" x14ac:dyDescent="0.2"/>
    <row r="334" s="26" customFormat="1" x14ac:dyDescent="0.2"/>
    <row r="335" s="26" customFormat="1" x14ac:dyDescent="0.2"/>
    <row r="336" s="26" customFormat="1" x14ac:dyDescent="0.2"/>
    <row r="337" s="26" customFormat="1" x14ac:dyDescent="0.2"/>
    <row r="338" s="26" customFormat="1" x14ac:dyDescent="0.2"/>
    <row r="339" s="26" customFormat="1" x14ac:dyDescent="0.2"/>
    <row r="340" s="26" customFormat="1" x14ac:dyDescent="0.2"/>
    <row r="341" s="26" customFormat="1" x14ac:dyDescent="0.2"/>
    <row r="342" s="26" customFormat="1" x14ac:dyDescent="0.2"/>
    <row r="343" s="26" customFormat="1" x14ac:dyDescent="0.2"/>
    <row r="344" s="26" customFormat="1" x14ac:dyDescent="0.2"/>
    <row r="345" s="26" customFormat="1" x14ac:dyDescent="0.2"/>
    <row r="346" s="26" customFormat="1" x14ac:dyDescent="0.2"/>
    <row r="347" s="26" customFormat="1" x14ac:dyDescent="0.2"/>
    <row r="348" s="26" customFormat="1" x14ac:dyDescent="0.2"/>
    <row r="349" s="26" customFormat="1" x14ac:dyDescent="0.2"/>
    <row r="350" s="26" customFormat="1" x14ac:dyDescent="0.2"/>
    <row r="351" s="26" customFormat="1" x14ac:dyDescent="0.2"/>
    <row r="352" s="26" customFormat="1" x14ac:dyDescent="0.2"/>
    <row r="353" s="26" customFormat="1" x14ac:dyDescent="0.2"/>
    <row r="354" s="26" customFormat="1" x14ac:dyDescent="0.2"/>
    <row r="355" s="26" customFormat="1" x14ac:dyDescent="0.2"/>
    <row r="356" s="26" customFormat="1" x14ac:dyDescent="0.2"/>
    <row r="357" s="26" customFormat="1" x14ac:dyDescent="0.2"/>
    <row r="358" s="26" customFormat="1" x14ac:dyDescent="0.2"/>
    <row r="359" s="26" customFormat="1" x14ac:dyDescent="0.2"/>
    <row r="360" s="26" customFormat="1" x14ac:dyDescent="0.2"/>
    <row r="361" s="26" customFormat="1" x14ac:dyDescent="0.2"/>
    <row r="362" s="26" customFormat="1" x14ac:dyDescent="0.2"/>
    <row r="363" s="26" customFormat="1" x14ac:dyDescent="0.2"/>
    <row r="364" s="26" customFormat="1" x14ac:dyDescent="0.2"/>
    <row r="365" s="26" customFormat="1" x14ac:dyDescent="0.2"/>
    <row r="366" s="26" customFormat="1" x14ac:dyDescent="0.2"/>
    <row r="367" s="26" customFormat="1" x14ac:dyDescent="0.2"/>
    <row r="368" s="26" customFormat="1" x14ac:dyDescent="0.2"/>
    <row r="369" s="26" customFormat="1" x14ac:dyDescent="0.2"/>
    <row r="370" s="26" customFormat="1" x14ac:dyDescent="0.2"/>
    <row r="371" s="26" customFormat="1" x14ac:dyDescent="0.2"/>
    <row r="372" s="26" customFormat="1" x14ac:dyDescent="0.2"/>
    <row r="373" s="26" customFormat="1" x14ac:dyDescent="0.2"/>
    <row r="374" s="26" customFormat="1" x14ac:dyDescent="0.2"/>
    <row r="375" s="26" customFormat="1" x14ac:dyDescent="0.2"/>
    <row r="376" s="26" customFormat="1" x14ac:dyDescent="0.2"/>
    <row r="377" s="26" customFormat="1" x14ac:dyDescent="0.2"/>
    <row r="378" s="26" customFormat="1" x14ac:dyDescent="0.2"/>
    <row r="379" s="26" customFormat="1" x14ac:dyDescent="0.2"/>
    <row r="380" s="26" customFormat="1" x14ac:dyDescent="0.2"/>
    <row r="381" s="26" customFormat="1" x14ac:dyDescent="0.2"/>
    <row r="382" s="26" customFormat="1" x14ac:dyDescent="0.2"/>
    <row r="383" s="26" customFormat="1" x14ac:dyDescent="0.2"/>
    <row r="384" s="26" customFormat="1" x14ac:dyDescent="0.2"/>
    <row r="385" s="26" customFormat="1" x14ac:dyDescent="0.2"/>
    <row r="386" s="26" customFormat="1" x14ac:dyDescent="0.2"/>
    <row r="387" s="26" customFormat="1" x14ac:dyDescent="0.2"/>
    <row r="388" s="26" customFormat="1" x14ac:dyDescent="0.2"/>
    <row r="389" s="26" customFormat="1" x14ac:dyDescent="0.2"/>
    <row r="390" s="26" customFormat="1" x14ac:dyDescent="0.2"/>
    <row r="391" s="26" customFormat="1" x14ac:dyDescent="0.2"/>
    <row r="392" s="26" customFormat="1" x14ac:dyDescent="0.2"/>
    <row r="393" s="26" customFormat="1" x14ac:dyDescent="0.2"/>
    <row r="394" s="26" customFormat="1" x14ac:dyDescent="0.2"/>
    <row r="395" s="26" customFormat="1" x14ac:dyDescent="0.2"/>
    <row r="396" s="26" customFormat="1" x14ac:dyDescent="0.2"/>
    <row r="397" s="26" customFormat="1" x14ac:dyDescent="0.2"/>
    <row r="398" s="26" customFormat="1" x14ac:dyDescent="0.2"/>
    <row r="399" s="26" customFormat="1" x14ac:dyDescent="0.2"/>
    <row r="400" s="26" customFormat="1" x14ac:dyDescent="0.2"/>
    <row r="401" s="26" customFormat="1" x14ac:dyDescent="0.2"/>
    <row r="402" s="26" customFormat="1" x14ac:dyDescent="0.2"/>
    <row r="403" s="26" customFormat="1" x14ac:dyDescent="0.2"/>
    <row r="404" s="26" customFormat="1" x14ac:dyDescent="0.2"/>
    <row r="405" s="26" customFormat="1" x14ac:dyDescent="0.2"/>
    <row r="406" s="26" customFormat="1" x14ac:dyDescent="0.2"/>
    <row r="407" s="26" customFormat="1" x14ac:dyDescent="0.2"/>
    <row r="408" s="26" customFormat="1" x14ac:dyDescent="0.2"/>
    <row r="409" s="26" customFormat="1" x14ac:dyDescent="0.2"/>
    <row r="410" s="26" customFormat="1" x14ac:dyDescent="0.2"/>
    <row r="411" s="26" customFormat="1" x14ac:dyDescent="0.2"/>
    <row r="412" s="26" customFormat="1" x14ac:dyDescent="0.2"/>
    <row r="413" s="26" customFormat="1" x14ac:dyDescent="0.2"/>
    <row r="414" s="26" customFormat="1" x14ac:dyDescent="0.2"/>
    <row r="415" s="26" customFormat="1" x14ac:dyDescent="0.2"/>
    <row r="416" s="26" customFormat="1" x14ac:dyDescent="0.2"/>
    <row r="417" s="26" customFormat="1" x14ac:dyDescent="0.2"/>
    <row r="418" s="26" customFormat="1" x14ac:dyDescent="0.2"/>
    <row r="419" s="26" customFormat="1" x14ac:dyDescent="0.2"/>
    <row r="420" s="26" customFormat="1" x14ac:dyDescent="0.2"/>
    <row r="421" s="26" customFormat="1" x14ac:dyDescent="0.2"/>
    <row r="422" s="26" customFormat="1" x14ac:dyDescent="0.2"/>
    <row r="423" s="26" customFormat="1" x14ac:dyDescent="0.2"/>
    <row r="424" s="26" customFormat="1" x14ac:dyDescent="0.2"/>
    <row r="425" s="26" customFormat="1" x14ac:dyDescent="0.2"/>
    <row r="426" s="26" customFormat="1" x14ac:dyDescent="0.2"/>
    <row r="427" s="26" customFormat="1" x14ac:dyDescent="0.2"/>
    <row r="428" s="26" customFormat="1" x14ac:dyDescent="0.2"/>
    <row r="429" s="26" customFormat="1" x14ac:dyDescent="0.2"/>
    <row r="430" s="26" customFormat="1" x14ac:dyDescent="0.2"/>
    <row r="431" s="26" customFormat="1" x14ac:dyDescent="0.2"/>
    <row r="432" s="26" customFormat="1" x14ac:dyDescent="0.2"/>
    <row r="433" s="26" customFormat="1" x14ac:dyDescent="0.2"/>
    <row r="434" s="26" customFormat="1" x14ac:dyDescent="0.2"/>
    <row r="435" s="26" customFormat="1" x14ac:dyDescent="0.2"/>
    <row r="436" s="26" customFormat="1" x14ac:dyDescent="0.2"/>
    <row r="437" s="26" customFormat="1" x14ac:dyDescent="0.2"/>
    <row r="438" s="26" customFormat="1" x14ac:dyDescent="0.2"/>
    <row r="439" s="26" customFormat="1" x14ac:dyDescent="0.2"/>
    <row r="440" s="26" customFormat="1" x14ac:dyDescent="0.2"/>
    <row r="441" s="26" customFormat="1" x14ac:dyDescent="0.2"/>
    <row r="442" s="26" customFormat="1" x14ac:dyDescent="0.2"/>
    <row r="443" s="26" customFormat="1" x14ac:dyDescent="0.2"/>
    <row r="444" s="26" customFormat="1" x14ac:dyDescent="0.2"/>
    <row r="445" s="26" customFormat="1" x14ac:dyDescent="0.2"/>
    <row r="446" s="26" customFormat="1" x14ac:dyDescent="0.2"/>
    <row r="447" s="26" customFormat="1" x14ac:dyDescent="0.2"/>
    <row r="448" s="26" customFormat="1" x14ac:dyDescent="0.2"/>
    <row r="449" s="26" customFormat="1" x14ac:dyDescent="0.2"/>
    <row r="450" s="26" customFormat="1" x14ac:dyDescent="0.2"/>
    <row r="451" s="26" customFormat="1" x14ac:dyDescent="0.2"/>
    <row r="452" s="26" customFormat="1" x14ac:dyDescent="0.2"/>
    <row r="453" s="26" customFormat="1" x14ac:dyDescent="0.2"/>
    <row r="454" s="26" customFormat="1" x14ac:dyDescent="0.2"/>
    <row r="455" s="26" customFormat="1" x14ac:dyDescent="0.2"/>
    <row r="456" s="26" customFormat="1" x14ac:dyDescent="0.2"/>
    <row r="457" s="26" customFormat="1" x14ac:dyDescent="0.2"/>
    <row r="458" s="26" customFormat="1" x14ac:dyDescent="0.2"/>
    <row r="459" s="26" customFormat="1" x14ac:dyDescent="0.2"/>
    <row r="460" s="26" customFormat="1" x14ac:dyDescent="0.2"/>
    <row r="461" s="26" customFormat="1" x14ac:dyDescent="0.2"/>
    <row r="462" s="26" customFormat="1" x14ac:dyDescent="0.2"/>
    <row r="463" s="26" customFormat="1" x14ac:dyDescent="0.2"/>
    <row r="464" s="26" customFormat="1" x14ac:dyDescent="0.2"/>
    <row r="465" s="26" customFormat="1" x14ac:dyDescent="0.2"/>
    <row r="466" s="26" customFormat="1" x14ac:dyDescent="0.2"/>
    <row r="467" s="26" customFormat="1" x14ac:dyDescent="0.2"/>
    <row r="468" s="26" customFormat="1" x14ac:dyDescent="0.2"/>
    <row r="469" s="26" customFormat="1" x14ac:dyDescent="0.2"/>
    <row r="470" s="26" customFormat="1" x14ac:dyDescent="0.2"/>
    <row r="471" s="26" customFormat="1" x14ac:dyDescent="0.2"/>
    <row r="472" s="26" customFormat="1" x14ac:dyDescent="0.2"/>
    <row r="473" s="26" customFormat="1" x14ac:dyDescent="0.2"/>
    <row r="474" s="26" customFormat="1" x14ac:dyDescent="0.2"/>
    <row r="475" s="26" customFormat="1" x14ac:dyDescent="0.2"/>
    <row r="476" s="26" customFormat="1" x14ac:dyDescent="0.2"/>
    <row r="477" s="26" customFormat="1" x14ac:dyDescent="0.2"/>
    <row r="478" s="26" customFormat="1" x14ac:dyDescent="0.2"/>
    <row r="479" s="26" customFormat="1" x14ac:dyDescent="0.2"/>
    <row r="480" s="26" customFormat="1" x14ac:dyDescent="0.2"/>
    <row r="481" s="26" customFormat="1" x14ac:dyDescent="0.2"/>
    <row r="482" s="26" customFormat="1" x14ac:dyDescent="0.2"/>
    <row r="483" s="26" customFormat="1" x14ac:dyDescent="0.2"/>
    <row r="484" s="26" customFormat="1" x14ac:dyDescent="0.2"/>
    <row r="485" s="26" customFormat="1" x14ac:dyDescent="0.2"/>
    <row r="486" s="26" customFormat="1" x14ac:dyDescent="0.2"/>
    <row r="487" s="26" customFormat="1" x14ac:dyDescent="0.2"/>
    <row r="488" s="26" customFormat="1" x14ac:dyDescent="0.2"/>
    <row r="489" s="26" customFormat="1" x14ac:dyDescent="0.2"/>
    <row r="490" s="26" customFormat="1" x14ac:dyDescent="0.2"/>
    <row r="491" s="26" customFormat="1" x14ac:dyDescent="0.2"/>
    <row r="492" s="26" customFormat="1" x14ac:dyDescent="0.2"/>
    <row r="493" s="26" customFormat="1" x14ac:dyDescent="0.2"/>
    <row r="494" s="26" customFormat="1" x14ac:dyDescent="0.2"/>
    <row r="495" s="26" customFormat="1" x14ac:dyDescent="0.2"/>
    <row r="496" s="26" customFormat="1" x14ac:dyDescent="0.2"/>
    <row r="497" s="26" customFormat="1" x14ac:dyDescent="0.2"/>
    <row r="498" s="26" customFormat="1" x14ac:dyDescent="0.2"/>
    <row r="499" s="26" customFormat="1" x14ac:dyDescent="0.2"/>
    <row r="500" s="26" customFormat="1" x14ac:dyDescent="0.2"/>
  </sheetData>
  <protectedRanges>
    <protectedRange sqref="L29:N38" name="Rango4"/>
    <protectedRange sqref="E29:F38" name="Rango3"/>
    <protectedRange sqref="B29:C37" name="Rango2"/>
    <protectedRange sqref="B38:C38" name="Rango2_1"/>
    <protectedRange sqref="L6:N28" name="Rango4_2"/>
    <protectedRange sqref="E6:F18 E26:F28" name="Rango3_2"/>
    <protectedRange sqref="B6:C6 E19:F25 B18:C28" name="Rango2_3"/>
    <protectedRange sqref="B7:C17" name="Rango2_1_2"/>
  </protectedRanges>
  <dataConsolidate/>
  <mergeCells count="2">
    <mergeCell ref="A1:B4"/>
    <mergeCell ref="C1:N4"/>
  </mergeCells>
  <conditionalFormatting sqref="J29:J38">
    <cfRule type="containsText" dxfId="5" priority="2" stopIfTrue="1" operator="containsText" text="NO CUMPLE">
      <formula>NOT(ISERROR(SEARCH("NO CUMPLE",J29)))</formula>
    </cfRule>
  </conditionalFormatting>
  <conditionalFormatting sqref="J6:J28">
    <cfRule type="containsText" dxfId="4" priority="1" stopIfTrue="1" operator="containsText" text="NO CUMPLE">
      <formula>NOT(ISERROR(SEARCH("NO CUMPLE",J6)))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Z1618"/>
  <sheetViews>
    <sheetView workbookViewId="0">
      <selection activeCell="E14" sqref="E14"/>
    </sheetView>
  </sheetViews>
  <sheetFormatPr baseColWidth="10" defaultRowHeight="15" x14ac:dyDescent="0.25"/>
  <cols>
    <col min="1" max="1" width="14.140625" style="148" customWidth="1"/>
    <col min="2" max="2" width="10.7109375" style="25" customWidth="1"/>
    <col min="3" max="3" width="29.140625" customWidth="1"/>
    <col min="4" max="4" width="17.85546875" customWidth="1"/>
    <col min="5" max="5" width="11.140625" customWidth="1"/>
    <col min="7" max="7" width="19.42578125" customWidth="1"/>
    <col min="8" max="8" width="20" customWidth="1"/>
    <col min="9" max="9" width="15.42578125" customWidth="1"/>
    <col min="10" max="10" width="12.7109375" customWidth="1"/>
    <col min="12" max="12" width="6.42578125" customWidth="1"/>
    <col min="13" max="13" width="19.140625" customWidth="1"/>
    <col min="14" max="15" width="15.85546875" customWidth="1"/>
    <col min="16" max="17" width="11.85546875" customWidth="1"/>
    <col min="18" max="18" width="10.5703125" customWidth="1"/>
    <col min="19" max="20" width="9" customWidth="1"/>
    <col min="21" max="21" width="12" customWidth="1"/>
    <col min="22" max="22" width="7.5703125" customWidth="1"/>
    <col min="23" max="23" width="15.85546875" customWidth="1"/>
    <col min="24" max="24" width="9.7109375" customWidth="1"/>
  </cols>
  <sheetData>
    <row r="1" spans="1:26" x14ac:dyDescent="0.25">
      <c r="A1" s="148" t="s">
        <v>1</v>
      </c>
      <c r="B1" s="25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87</v>
      </c>
      <c r="Z1" t="s">
        <v>88</v>
      </c>
    </row>
    <row r="10" spans="1:26" x14ac:dyDescent="0.25">
      <c r="H10" s="228"/>
    </row>
    <row r="11" spans="1:26" x14ac:dyDescent="0.25">
      <c r="H11" s="228"/>
    </row>
    <row r="12" spans="1:26" x14ac:dyDescent="0.25">
      <c r="H12" s="228"/>
    </row>
    <row r="13" spans="1:26" x14ac:dyDescent="0.25">
      <c r="H13" s="228"/>
    </row>
    <row r="14" spans="1:26" x14ac:dyDescent="0.25">
      <c r="H14" s="228"/>
    </row>
    <row r="15" spans="1:26" x14ac:dyDescent="0.25">
      <c r="H15" s="228"/>
    </row>
    <row r="16" spans="1:26" x14ac:dyDescent="0.25">
      <c r="H16" s="228"/>
    </row>
    <row r="17" spans="8:8" x14ac:dyDescent="0.25">
      <c r="H17" s="228"/>
    </row>
    <row r="18" spans="8:8" x14ac:dyDescent="0.25">
      <c r="H18" s="228"/>
    </row>
    <row r="19" spans="8:8" x14ac:dyDescent="0.25">
      <c r="H19" s="228"/>
    </row>
    <row r="20" spans="8:8" x14ac:dyDescent="0.25">
      <c r="H20" s="228"/>
    </row>
    <row r="21" spans="8:8" x14ac:dyDescent="0.25">
      <c r="H21" s="228"/>
    </row>
    <row r="22" spans="8:8" x14ac:dyDescent="0.25">
      <c r="H22" s="228"/>
    </row>
    <row r="23" spans="8:8" x14ac:dyDescent="0.25">
      <c r="H23" s="228"/>
    </row>
    <row r="24" spans="8:8" x14ac:dyDescent="0.25">
      <c r="H24" s="228"/>
    </row>
    <row r="25" spans="8:8" x14ac:dyDescent="0.25">
      <c r="H25" s="228"/>
    </row>
    <row r="26" spans="8:8" x14ac:dyDescent="0.25">
      <c r="H26" s="228"/>
    </row>
    <row r="904" spans="22:22" x14ac:dyDescent="0.25">
      <c r="V904" s="80"/>
    </row>
    <row r="946" spans="22:22" x14ac:dyDescent="0.25">
      <c r="V946" s="80"/>
    </row>
    <row r="958" spans="22:22" x14ac:dyDescent="0.25">
      <c r="V958" s="80"/>
    </row>
    <row r="1106" spans="22:22" x14ac:dyDescent="0.25">
      <c r="V1106" s="81"/>
    </row>
    <row r="1108" spans="22:22" x14ac:dyDescent="0.25">
      <c r="V1108" s="81"/>
    </row>
    <row r="1110" spans="22:22" x14ac:dyDescent="0.25">
      <c r="V1110" s="81"/>
    </row>
    <row r="1112" spans="22:22" x14ac:dyDescent="0.25">
      <c r="V1112" s="81"/>
    </row>
    <row r="1114" spans="22:22" x14ac:dyDescent="0.25">
      <c r="V1114" s="81"/>
    </row>
    <row r="1116" spans="22:22" x14ac:dyDescent="0.25">
      <c r="V1116" s="81"/>
    </row>
    <row r="1120" spans="22:22" x14ac:dyDescent="0.25">
      <c r="V1120" s="81"/>
    </row>
    <row r="1124" spans="22:22" x14ac:dyDescent="0.25">
      <c r="V1124" s="81"/>
    </row>
    <row r="1126" spans="22:22" x14ac:dyDescent="0.25">
      <c r="V1126" s="81"/>
    </row>
    <row r="1128" spans="22:22" x14ac:dyDescent="0.25">
      <c r="V1128" s="81"/>
    </row>
    <row r="1130" spans="22:22" x14ac:dyDescent="0.25">
      <c r="V1130" s="81"/>
    </row>
    <row r="1131" spans="22:22" x14ac:dyDescent="0.25">
      <c r="V1131" s="81"/>
    </row>
    <row r="1134" spans="22:22" x14ac:dyDescent="0.25">
      <c r="V1134" s="81"/>
    </row>
    <row r="1135" spans="22:22" x14ac:dyDescent="0.25">
      <c r="V1135" s="81"/>
    </row>
    <row r="1153" spans="22:22" x14ac:dyDescent="0.25">
      <c r="V1153" s="80"/>
    </row>
    <row r="1228" spans="21:21" x14ac:dyDescent="0.25">
      <c r="U1228" s="81"/>
    </row>
    <row r="1333" spans="17:17" x14ac:dyDescent="0.25">
      <c r="Q1333" s="81"/>
    </row>
    <row r="1529" spans="1:26" s="153" customFormat="1" x14ac:dyDescent="0.25">
      <c r="A1529" s="148"/>
      <c r="B1529" s="25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s="153" customFormat="1" x14ac:dyDescent="0.25">
      <c r="A1530" s="154"/>
      <c r="B1530" s="152"/>
    </row>
    <row r="1531" spans="1:26" s="153" customFormat="1" x14ac:dyDescent="0.25">
      <c r="A1531" s="154"/>
      <c r="B1531" s="152"/>
    </row>
    <row r="1532" spans="1:26" s="153" customFormat="1" x14ac:dyDescent="0.25">
      <c r="A1532" s="154"/>
      <c r="B1532" s="152"/>
    </row>
    <row r="1533" spans="1:26" s="153" customFormat="1" x14ac:dyDescent="0.25">
      <c r="A1533" s="154"/>
      <c r="B1533" s="152"/>
    </row>
    <row r="1534" spans="1:26" x14ac:dyDescent="0.25">
      <c r="A1534" s="154"/>
      <c r="B1534" s="152"/>
      <c r="C1534" s="153"/>
      <c r="D1534" s="153"/>
      <c r="E1534" s="153"/>
      <c r="F1534" s="153"/>
      <c r="G1534" s="153"/>
      <c r="H1534" s="153"/>
      <c r="I1534" s="153"/>
      <c r="J1534" s="153"/>
      <c r="K1534" s="153"/>
      <c r="L1534" s="153"/>
      <c r="M1534" s="153"/>
      <c r="N1534" s="153"/>
      <c r="O1534" s="153"/>
      <c r="P1534" s="153"/>
      <c r="Q1534" s="153"/>
      <c r="R1534" s="153"/>
      <c r="S1534" s="153"/>
      <c r="T1534" s="153"/>
      <c r="U1534" s="153"/>
      <c r="V1534" s="153"/>
      <c r="W1534" s="153"/>
      <c r="X1534" s="153"/>
      <c r="Y1534" s="153"/>
      <c r="Z1534" s="153"/>
    </row>
    <row r="1560" spans="1:1" x14ac:dyDescent="0.25">
      <c r="A1560" s="155"/>
    </row>
    <row r="1595" hidden="1" x14ac:dyDescent="0.25"/>
    <row r="1601" spans="1:1" x14ac:dyDescent="0.25">
      <c r="A1601" s="155"/>
    </row>
    <row r="1618" spans="19:22" x14ac:dyDescent="0.25">
      <c r="S1618" s="81"/>
      <c r="T1618" s="81"/>
      <c r="U1618" s="81"/>
      <c r="V1618" s="8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AR81"/>
  <sheetViews>
    <sheetView zoomScale="85" zoomScaleNormal="85" workbookViewId="0">
      <selection activeCell="C1" sqref="C1:I2"/>
    </sheetView>
  </sheetViews>
  <sheetFormatPr baseColWidth="10" defaultRowHeight="15" x14ac:dyDescent="0.25"/>
  <cols>
    <col min="1" max="2" width="10.28515625" style="169" customWidth="1"/>
    <col min="3" max="3" width="12.140625" style="169" customWidth="1"/>
    <col min="4" max="4" width="17.140625" style="169" customWidth="1"/>
    <col min="5" max="5" width="7.140625" style="169" customWidth="1"/>
    <col min="6" max="6" width="9.5703125" style="169" customWidth="1"/>
    <col min="7" max="7" width="12.7109375" style="169" customWidth="1"/>
    <col min="8" max="8" width="9.140625" style="169" customWidth="1"/>
    <col min="9" max="9" width="10" style="169" customWidth="1"/>
    <col min="10" max="10" width="6.42578125" style="169" customWidth="1"/>
    <col min="11" max="13" width="11.42578125" style="169"/>
    <col min="14" max="14" width="11.42578125" style="169" hidden="1" customWidth="1"/>
    <col min="15" max="15" width="11.42578125" style="169"/>
    <col min="16" max="16" width="11.42578125" style="169" hidden="1" customWidth="1"/>
    <col min="17" max="17" width="62.7109375" style="169" hidden="1" customWidth="1"/>
    <col min="18" max="18" width="14.7109375" style="169" hidden="1" customWidth="1"/>
    <col min="19" max="43" width="11.42578125" style="169" hidden="1" customWidth="1"/>
    <col min="44" max="16384" width="11.42578125" style="169"/>
  </cols>
  <sheetData>
    <row r="1" spans="1:44" ht="11.25" customHeight="1" x14ac:dyDescent="0.25">
      <c r="A1" s="271"/>
      <c r="B1" s="272"/>
      <c r="C1" s="275" t="s">
        <v>228</v>
      </c>
      <c r="D1" s="275"/>
      <c r="E1" s="275"/>
      <c r="F1" s="275"/>
      <c r="G1" s="275"/>
      <c r="H1" s="275"/>
      <c r="I1" s="276"/>
      <c r="J1" s="168"/>
      <c r="Q1" s="169" t="s">
        <v>1</v>
      </c>
      <c r="R1" s="169" t="s">
        <v>2</v>
      </c>
      <c r="S1" s="169" t="s">
        <v>3</v>
      </c>
      <c r="T1" s="169" t="s">
        <v>4</v>
      </c>
      <c r="U1" s="169" t="s">
        <v>5</v>
      </c>
      <c r="V1" s="169" t="s">
        <v>6</v>
      </c>
      <c r="W1" s="169" t="s">
        <v>7</v>
      </c>
      <c r="X1" s="169" t="s">
        <v>8</v>
      </c>
      <c r="Y1" s="169" t="s">
        <v>9</v>
      </c>
      <c r="Z1" s="169" t="s">
        <v>10</v>
      </c>
      <c r="AA1" s="169" t="s">
        <v>11</v>
      </c>
      <c r="AB1" s="169" t="s">
        <v>12</v>
      </c>
      <c r="AC1" s="169" t="s">
        <v>13</v>
      </c>
      <c r="AD1" s="169" t="s">
        <v>14</v>
      </c>
      <c r="AE1" s="169" t="s">
        <v>15</v>
      </c>
      <c r="AF1" s="169" t="s">
        <v>16</v>
      </c>
      <c r="AG1" s="169" t="s">
        <v>17</v>
      </c>
      <c r="AH1" s="169" t="s">
        <v>18</v>
      </c>
      <c r="AI1" s="169" t="s">
        <v>19</v>
      </c>
      <c r="AJ1" s="169" t="s">
        <v>20</v>
      </c>
      <c r="AK1" s="169" t="s">
        <v>21</v>
      </c>
      <c r="AL1" s="169" t="s">
        <v>22</v>
      </c>
      <c r="AM1" s="169" t="s">
        <v>23</v>
      </c>
      <c r="AN1" s="169" t="s">
        <v>24</v>
      </c>
      <c r="AO1" s="169" t="s">
        <v>87</v>
      </c>
      <c r="AP1" s="169" t="s">
        <v>88</v>
      </c>
    </row>
    <row r="2" spans="1:44" ht="11.25" customHeight="1" x14ac:dyDescent="0.25">
      <c r="A2" s="268"/>
      <c r="B2" s="246"/>
      <c r="C2" s="277"/>
      <c r="D2" s="277"/>
      <c r="E2" s="277"/>
      <c r="F2" s="277"/>
      <c r="G2" s="277"/>
      <c r="H2" s="277"/>
      <c r="I2" s="278"/>
      <c r="J2" s="168"/>
      <c r="Q2" s="169">
        <f>D7</f>
        <v>2179</v>
      </c>
      <c r="R2" s="170">
        <f ca="1">B7</f>
        <v>43693</v>
      </c>
      <c r="S2" s="169" t="str">
        <f>G7</f>
        <v>TK 502</v>
      </c>
      <c r="T2" s="169">
        <f>B8</f>
        <v>0</v>
      </c>
      <c r="U2" s="169">
        <f>D8</f>
        <v>0</v>
      </c>
      <c r="V2" s="171">
        <f>G8</f>
        <v>1.7999999999999999E-2</v>
      </c>
      <c r="W2" s="169">
        <f>F9</f>
        <v>521333</v>
      </c>
      <c r="X2" s="169" t="str">
        <f>I9</f>
        <v>4J0643</v>
      </c>
      <c r="Y2" s="172">
        <f>B10</f>
        <v>15.4</v>
      </c>
      <c r="Z2" s="172">
        <f>D10</f>
        <v>115</v>
      </c>
      <c r="AA2" s="172">
        <f>D11</f>
        <v>115</v>
      </c>
      <c r="AB2" s="172">
        <f>F10</f>
        <v>12.6</v>
      </c>
      <c r="AC2" s="173">
        <f>H10</f>
        <v>0.98195697432338658</v>
      </c>
      <c r="AD2" s="173">
        <f>B13</f>
        <v>0</v>
      </c>
      <c r="AE2" s="173">
        <f>B14</f>
        <v>0</v>
      </c>
      <c r="AF2" s="171">
        <f>D13</f>
        <v>0</v>
      </c>
      <c r="AG2" s="171">
        <f>D14</f>
        <v>0</v>
      </c>
      <c r="AH2" s="173" t="e">
        <f ca="1">F13</f>
        <v>#N/A</v>
      </c>
      <c r="AI2" s="171" t="str">
        <f>H12</f>
        <v/>
      </c>
      <c r="AJ2" s="171" t="str">
        <f>H13</f>
        <v/>
      </c>
      <c r="AK2" s="171" t="str">
        <f>H14</f>
        <v/>
      </c>
      <c r="AL2" s="171" t="str">
        <f>I13</f>
        <v/>
      </c>
      <c r="AM2" s="169">
        <f>A16</f>
        <v>0</v>
      </c>
      <c r="AN2" s="169">
        <f>G15</f>
        <v>0</v>
      </c>
      <c r="AO2" s="169" t="str">
        <f>IF(P10=1,"CPF1","CPF2")</f>
        <v>CPF1</v>
      </c>
      <c r="AP2" s="169" t="str">
        <f>IF(Q6=1,"Tabla 5A","Tabla 5B")</f>
        <v>Tabla 5A</v>
      </c>
    </row>
    <row r="3" spans="1:44" ht="11.25" customHeight="1" x14ac:dyDescent="0.25">
      <c r="A3" s="268"/>
      <c r="B3" s="246"/>
      <c r="C3" s="279" t="s">
        <v>75</v>
      </c>
      <c r="D3" s="279"/>
      <c r="E3" s="280" t="s">
        <v>25</v>
      </c>
      <c r="F3" s="280"/>
      <c r="G3" s="281">
        <v>42810</v>
      </c>
      <c r="H3" s="279" t="s">
        <v>222</v>
      </c>
      <c r="I3" s="282"/>
      <c r="J3" s="168"/>
    </row>
    <row r="4" spans="1:44" ht="12" customHeight="1" x14ac:dyDescent="0.25">
      <c r="A4" s="268"/>
      <c r="B4" s="246"/>
      <c r="C4" s="279"/>
      <c r="D4" s="279"/>
      <c r="E4" s="280"/>
      <c r="F4" s="280"/>
      <c r="G4" s="281"/>
      <c r="H4" s="279"/>
      <c r="I4" s="282"/>
      <c r="J4" s="168"/>
    </row>
    <row r="5" spans="1:44" ht="16.5" customHeight="1" thickBot="1" x14ac:dyDescent="0.3">
      <c r="A5" s="273"/>
      <c r="B5" s="274"/>
      <c r="C5" s="174" t="s">
        <v>26</v>
      </c>
      <c r="D5" s="283" t="s">
        <v>89</v>
      </c>
      <c r="E5" s="283"/>
      <c r="F5" s="175" t="s">
        <v>27</v>
      </c>
      <c r="G5" s="283" t="s">
        <v>28</v>
      </c>
      <c r="H5" s="283"/>
      <c r="I5" s="284"/>
      <c r="J5" s="168"/>
    </row>
    <row r="6" spans="1:44" ht="15" customHeight="1" x14ac:dyDescent="0.25">
      <c r="A6" s="259" t="s">
        <v>29</v>
      </c>
      <c r="B6" s="260"/>
      <c r="C6" s="260"/>
      <c r="D6" s="260"/>
      <c r="E6" s="260"/>
      <c r="F6" s="260"/>
      <c r="G6" s="260"/>
      <c r="H6" s="260"/>
      <c r="I6" s="261"/>
      <c r="J6" s="168"/>
      <c r="M6" s="176"/>
      <c r="Q6" s="169">
        <v>1</v>
      </c>
    </row>
    <row r="7" spans="1:44" ht="19.5" customHeight="1" x14ac:dyDescent="0.25">
      <c r="A7" s="158" t="s">
        <v>30</v>
      </c>
      <c r="B7" s="170">
        <f ca="1">TODAY()</f>
        <v>43693</v>
      </c>
      <c r="C7" s="159" t="s">
        <v>31</v>
      </c>
      <c r="D7" s="218">
        <v>2179</v>
      </c>
      <c r="E7" s="262" t="s">
        <v>32</v>
      </c>
      <c r="F7" s="262"/>
      <c r="G7" s="263" t="s">
        <v>208</v>
      </c>
      <c r="H7" s="263"/>
      <c r="I7" s="264"/>
      <c r="J7" s="177"/>
    </row>
    <row r="8" spans="1:44" ht="19.5" customHeight="1" x14ac:dyDescent="0.25">
      <c r="A8" s="158" t="s">
        <v>33</v>
      </c>
      <c r="B8" s="160"/>
      <c r="C8" s="5" t="s">
        <v>34</v>
      </c>
      <c r="D8" s="160"/>
      <c r="E8" s="265" t="s">
        <v>35</v>
      </c>
      <c r="F8" s="265"/>
      <c r="G8" s="266">
        <v>1.7999999999999999E-2</v>
      </c>
      <c r="H8" s="266"/>
      <c r="I8" s="267"/>
      <c r="J8" s="177"/>
      <c r="M8" s="169" t="s">
        <v>227</v>
      </c>
    </row>
    <row r="9" spans="1:44" ht="19.5" customHeight="1" x14ac:dyDescent="0.25">
      <c r="A9" s="285" t="s">
        <v>36</v>
      </c>
      <c r="B9" s="263"/>
      <c r="C9" s="161" t="s">
        <v>37</v>
      </c>
      <c r="D9" s="263" t="s">
        <v>38</v>
      </c>
      <c r="E9" s="263"/>
      <c r="F9" s="161">
        <v>521333</v>
      </c>
      <c r="G9" s="286" t="s">
        <v>39</v>
      </c>
      <c r="H9" s="286"/>
      <c r="I9" s="178" t="s">
        <v>238</v>
      </c>
      <c r="J9" s="179"/>
    </row>
    <row r="10" spans="1:44" ht="19.5" customHeight="1" x14ac:dyDescent="0.25">
      <c r="A10" s="162" t="s">
        <v>40</v>
      </c>
      <c r="B10" s="287">
        <v>15.4</v>
      </c>
      <c r="C10" s="11" t="s">
        <v>41</v>
      </c>
      <c r="D10" s="180">
        <v>115</v>
      </c>
      <c r="E10" s="164" t="s">
        <v>40</v>
      </c>
      <c r="F10" s="287">
        <f>IF(D11="","",IF(Q6=1,API_60F(R20,R14),API_60F2(R20,R14)))</f>
        <v>12.6</v>
      </c>
      <c r="G10" s="164" t="s">
        <v>42</v>
      </c>
      <c r="H10" s="257">
        <f>IF(F10="","",141.5/(F10+131.5))</f>
        <v>0.98195697432338658</v>
      </c>
      <c r="I10" s="288"/>
      <c r="J10" s="181"/>
      <c r="N10" s="81" t="e">
        <f>AVERAGE(H12,H13)</f>
        <v>#DIV/0!</v>
      </c>
      <c r="P10" s="169">
        <v>1</v>
      </c>
    </row>
    <row r="11" spans="1:44" ht="19.5" customHeight="1" x14ac:dyDescent="0.25">
      <c r="A11" s="163" t="s">
        <v>43</v>
      </c>
      <c r="B11" s="287"/>
      <c r="C11" s="165" t="s">
        <v>44</v>
      </c>
      <c r="D11" s="225">
        <v>115</v>
      </c>
      <c r="E11" s="14" t="s">
        <v>45</v>
      </c>
      <c r="F11" s="287"/>
      <c r="G11" s="165" t="s">
        <v>46</v>
      </c>
      <c r="H11" s="257"/>
      <c r="I11" s="288"/>
      <c r="J11" s="181"/>
      <c r="N11" s="169" t="e">
        <f>0.032*POWER(N10,1/3)</f>
        <v>#DIV/0!</v>
      </c>
    </row>
    <row r="12" spans="1:44" ht="19.5" customHeight="1" x14ac:dyDescent="0.25">
      <c r="A12" s="268" t="s">
        <v>47</v>
      </c>
      <c r="B12" s="246"/>
      <c r="C12" s="161" t="s">
        <v>48</v>
      </c>
      <c r="D12" s="161" t="s">
        <v>49</v>
      </c>
      <c r="E12" s="269" t="s">
        <v>90</v>
      </c>
      <c r="F12" s="270"/>
      <c r="G12" s="164" t="s">
        <v>50</v>
      </c>
      <c r="H12" s="182" t="str">
        <f>IF(D14="","",ROUND((D13*F13)/(B13*10),3))</f>
        <v/>
      </c>
      <c r="I12" s="167" t="s">
        <v>22</v>
      </c>
      <c r="J12" s="181"/>
      <c r="N12" s="169" t="e">
        <f>IF(ABS(H12-H13)&lt;N11,1,2)</f>
        <v>#VALUE!</v>
      </c>
      <c r="Q12" s="169" t="s">
        <v>77</v>
      </c>
    </row>
    <row r="13" spans="1:44" ht="19.5" customHeight="1" x14ac:dyDescent="0.25">
      <c r="A13" s="162" t="s">
        <v>51</v>
      </c>
      <c r="B13" s="183"/>
      <c r="C13" s="164" t="s">
        <v>52</v>
      </c>
      <c r="D13" s="184"/>
      <c r="E13" s="17" t="s">
        <v>53</v>
      </c>
      <c r="F13" s="256" t="e">
        <f ca="1">IF(B7="","",VLOOKUP(B7,Titulo!A6:N36,8,FALSE))</f>
        <v>#N/A</v>
      </c>
      <c r="G13" s="165" t="s">
        <v>54</v>
      </c>
      <c r="H13" s="182" t="str">
        <f>IF(D14="","",ROUND((D14*F13)/(B14*10),3))</f>
        <v/>
      </c>
      <c r="I13" s="258" t="str">
        <f>IF(A16="",IF(H14="","",ROUND((H14+G8),3)),IF(A16="OK",IF(H14="","",ROUND((H14+G8),3)),L14))</f>
        <v/>
      </c>
      <c r="J13" s="181"/>
      <c r="K13" s="169" t="str">
        <f>+IF(H14="","",ROUND((H14+G8),3))</f>
        <v/>
      </c>
      <c r="O13" s="169" t="s">
        <v>214</v>
      </c>
      <c r="Q13" s="169" t="s">
        <v>78</v>
      </c>
      <c r="R13" s="169" t="s">
        <v>79</v>
      </c>
      <c r="AR13" s="169" t="str">
        <f>IF(D14="","",ROUND(((H12+H13)/2)*H10,3))</f>
        <v/>
      </c>
    </row>
    <row r="14" spans="1:44" ht="19.5" customHeight="1" x14ac:dyDescent="0.25">
      <c r="A14" s="163" t="s">
        <v>55</v>
      </c>
      <c r="B14" s="183"/>
      <c r="C14" s="165" t="s">
        <v>56</v>
      </c>
      <c r="D14" s="184"/>
      <c r="E14" s="18" t="s">
        <v>57</v>
      </c>
      <c r="F14" s="257"/>
      <c r="G14" s="166" t="s">
        <v>58</v>
      </c>
      <c r="H14" s="192" t="str">
        <f>IF(D14="","",ROUND(((H12+H13)/2)*H10,3))</f>
        <v/>
      </c>
      <c r="I14" s="258"/>
      <c r="J14" s="181"/>
      <c r="K14" s="169" t="s">
        <v>223</v>
      </c>
      <c r="L14" s="244">
        <v>2.2000000000000002</v>
      </c>
      <c r="O14" s="169" t="s">
        <v>213</v>
      </c>
      <c r="Q14" s="169" t="s">
        <v>80</v>
      </c>
      <c r="R14" s="172">
        <f>+ROUND(AVERAGE(D10:D11),1)</f>
        <v>115</v>
      </c>
      <c r="AR14" s="171"/>
    </row>
    <row r="15" spans="1:44" ht="19.5" customHeight="1" x14ac:dyDescent="0.25">
      <c r="A15" s="253" t="s">
        <v>215</v>
      </c>
      <c r="B15" s="254"/>
      <c r="C15" s="254"/>
      <c r="D15" s="254"/>
      <c r="E15" s="254"/>
      <c r="F15" s="255"/>
      <c r="G15" s="246"/>
      <c r="H15" s="246"/>
      <c r="I15" s="247"/>
      <c r="J15" s="181"/>
      <c r="K15" s="169" t="s">
        <v>224</v>
      </c>
      <c r="L15" s="244"/>
      <c r="Q15" s="169" t="s">
        <v>81</v>
      </c>
      <c r="R15" s="172">
        <f>B10</f>
        <v>15.4</v>
      </c>
    </row>
    <row r="16" spans="1:44" ht="19.5" customHeight="1" x14ac:dyDescent="0.25">
      <c r="A16" s="248"/>
      <c r="B16" s="249"/>
      <c r="C16" s="249"/>
      <c r="D16" s="249"/>
      <c r="E16" s="249"/>
      <c r="F16" s="249"/>
      <c r="G16" s="246" t="s">
        <v>60</v>
      </c>
      <c r="H16" s="246"/>
      <c r="I16" s="247"/>
      <c r="J16" s="181"/>
      <c r="Q16" s="169" t="s">
        <v>82</v>
      </c>
      <c r="R16" s="169">
        <f>+(141.5*999.016)/(131.5+R15)</f>
        <v>962.29247106875414</v>
      </c>
    </row>
    <row r="17" spans="1:18" ht="9.75" customHeight="1" x14ac:dyDescent="0.25">
      <c r="A17" s="250"/>
      <c r="B17" s="251"/>
      <c r="C17" s="251"/>
      <c r="D17" s="251"/>
      <c r="E17" s="251"/>
      <c r="F17" s="251"/>
      <c r="G17" s="251"/>
      <c r="H17" s="251"/>
      <c r="I17" s="252"/>
      <c r="J17" s="181"/>
      <c r="Q17" s="169" t="s">
        <v>83</v>
      </c>
      <c r="R17" s="169">
        <f>1-(0.00001278*(R14-60))-(0.0000000062*(R14-60)^2)</f>
        <v>0.99927834500000001</v>
      </c>
    </row>
    <row r="18" spans="1:18" x14ac:dyDescent="0.25">
      <c r="A18" s="185"/>
      <c r="B18" s="179"/>
      <c r="C18" s="185"/>
      <c r="D18" s="186"/>
      <c r="E18" s="179"/>
      <c r="F18" s="179"/>
      <c r="G18" s="179"/>
      <c r="H18" s="179"/>
      <c r="I18" s="179"/>
      <c r="J18" s="181"/>
      <c r="Q18" s="169" t="s">
        <v>84</v>
      </c>
      <c r="R18" s="169">
        <f>+R17*R16</f>
        <v>961.59802789554499</v>
      </c>
    </row>
    <row r="19" spans="1:18" x14ac:dyDescent="0.25">
      <c r="A19" s="185"/>
      <c r="B19" s="185"/>
      <c r="C19" s="185"/>
      <c r="D19" s="185"/>
      <c r="E19" s="187"/>
      <c r="F19" s="187"/>
      <c r="G19" s="187"/>
      <c r="H19" s="187"/>
      <c r="I19" s="219"/>
      <c r="J19" s="181"/>
      <c r="Q19" s="169" t="s">
        <v>85</v>
      </c>
      <c r="R19" s="169">
        <f>+R18/999.016</f>
        <v>0.96254517234513259</v>
      </c>
    </row>
    <row r="20" spans="1:18" x14ac:dyDescent="0.25">
      <c r="A20" s="187"/>
      <c r="B20" s="187"/>
      <c r="C20" s="188"/>
      <c r="D20" s="187"/>
      <c r="E20" s="187"/>
      <c r="F20" s="188"/>
      <c r="G20" s="179"/>
      <c r="H20" s="179"/>
      <c r="I20" s="179"/>
      <c r="J20" s="181"/>
      <c r="Q20" s="169" t="s">
        <v>9</v>
      </c>
      <c r="R20" s="169">
        <f>141.5/R19-131.5</f>
        <v>15.506087678203443</v>
      </c>
    </row>
    <row r="21" spans="1:18" x14ac:dyDescent="0.25">
      <c r="A21" s="181"/>
      <c r="B21" s="189"/>
      <c r="C21" s="181"/>
      <c r="D21" s="181"/>
      <c r="E21" s="181"/>
      <c r="F21" s="189"/>
      <c r="G21" s="181"/>
      <c r="H21" s="189"/>
      <c r="I21" s="189"/>
      <c r="J21" s="181"/>
      <c r="Q21" s="169" t="s">
        <v>86</v>
      </c>
      <c r="R21" s="169">
        <f>+ROUND(R20,1)</f>
        <v>15.5</v>
      </c>
    </row>
    <row r="22" spans="1:18" x14ac:dyDescent="0.25">
      <c r="A22" s="181"/>
      <c r="B22" s="189"/>
      <c r="C22" s="181"/>
      <c r="D22" s="181"/>
      <c r="E22" s="181"/>
      <c r="F22" s="189"/>
      <c r="G22" s="181"/>
      <c r="H22" s="189"/>
      <c r="I22" s="189"/>
      <c r="J22" s="181"/>
    </row>
    <row r="23" spans="1:18" x14ac:dyDescent="0.25">
      <c r="A23" s="189"/>
      <c r="B23" s="189"/>
      <c r="C23" s="188"/>
      <c r="D23" s="188"/>
      <c r="E23" s="189"/>
      <c r="F23" s="189"/>
      <c r="G23" s="181"/>
      <c r="H23" s="188"/>
      <c r="I23" s="189"/>
      <c r="J23" s="181"/>
    </row>
    <row r="24" spans="1:18" x14ac:dyDescent="0.25">
      <c r="A24" s="181"/>
      <c r="B24" s="189"/>
      <c r="C24" s="181"/>
      <c r="D24" s="210"/>
      <c r="E24" s="188"/>
      <c r="F24" s="189"/>
      <c r="G24" s="181"/>
      <c r="H24" s="189"/>
      <c r="I24" s="189"/>
      <c r="J24" s="181"/>
    </row>
    <row r="25" spans="1:18" x14ac:dyDescent="0.25">
      <c r="A25" s="181"/>
      <c r="B25" s="189"/>
      <c r="C25" s="181"/>
      <c r="D25" s="188"/>
      <c r="E25" s="190"/>
      <c r="F25" s="189"/>
      <c r="G25" s="189"/>
      <c r="H25" s="189"/>
      <c r="I25" s="189"/>
      <c r="J25" s="181"/>
    </row>
    <row r="26" spans="1:18" ht="15" customHeight="1" x14ac:dyDescent="0.25">
      <c r="A26" s="189"/>
      <c r="B26" s="189"/>
      <c r="C26" s="189"/>
      <c r="D26" s="189"/>
      <c r="E26" s="189"/>
      <c r="F26" s="189"/>
      <c r="G26" s="189"/>
      <c r="H26" s="189"/>
      <c r="I26" s="189"/>
      <c r="J26" s="181"/>
    </row>
    <row r="27" spans="1:18" x14ac:dyDescent="0.25">
      <c r="A27" s="189"/>
      <c r="B27" s="189"/>
      <c r="C27" s="189"/>
      <c r="D27" s="189"/>
      <c r="E27" s="189"/>
      <c r="F27" s="189"/>
      <c r="G27" s="189"/>
      <c r="H27" s="189"/>
      <c r="I27" s="189"/>
      <c r="J27" s="181"/>
    </row>
    <row r="28" spans="1:18" ht="9.75" customHeight="1" x14ac:dyDescent="0.25">
      <c r="A28" s="191"/>
      <c r="B28" s="189"/>
      <c r="C28" s="189"/>
      <c r="D28" s="189"/>
      <c r="E28" s="189"/>
      <c r="F28" s="189"/>
      <c r="G28" s="189"/>
      <c r="H28" s="189"/>
      <c r="I28" s="189"/>
      <c r="J28" s="181"/>
    </row>
    <row r="29" spans="1:18" x14ac:dyDescent="0.25">
      <c r="A29" s="185"/>
      <c r="B29" s="179"/>
      <c r="C29" s="185"/>
      <c r="D29" s="186"/>
      <c r="E29" s="179"/>
      <c r="F29" s="179"/>
      <c r="G29" s="179"/>
      <c r="H29" s="179"/>
      <c r="I29" s="179"/>
      <c r="J29" s="181"/>
    </row>
    <row r="30" spans="1:18" x14ac:dyDescent="0.25">
      <c r="A30" s="185"/>
      <c r="B30" s="185"/>
      <c r="C30" s="185"/>
      <c r="D30" s="185"/>
      <c r="E30" s="187"/>
      <c r="F30" s="187"/>
      <c r="G30" s="187"/>
      <c r="H30" s="187"/>
      <c r="I30" s="187"/>
      <c r="J30" s="181"/>
    </row>
    <row r="31" spans="1:18" x14ac:dyDescent="0.25">
      <c r="A31" s="187"/>
      <c r="B31" s="187"/>
      <c r="C31" s="188"/>
      <c r="D31" s="187"/>
      <c r="E31" s="187"/>
      <c r="F31" s="188"/>
      <c r="G31" s="179"/>
      <c r="H31" s="179"/>
      <c r="I31" s="179"/>
      <c r="J31" s="181"/>
    </row>
    <row r="32" spans="1:18" x14ac:dyDescent="0.25">
      <c r="A32" s="181"/>
      <c r="B32" s="189"/>
      <c r="C32" s="181"/>
      <c r="D32" s="181"/>
      <c r="E32" s="181"/>
      <c r="F32" s="189"/>
      <c r="G32" s="181"/>
      <c r="H32" s="189"/>
      <c r="I32" s="189"/>
      <c r="J32" s="181"/>
    </row>
    <row r="33" spans="1:12" x14ac:dyDescent="0.25">
      <c r="A33" s="181"/>
      <c r="B33" s="189"/>
      <c r="C33" s="181"/>
      <c r="D33" s="181"/>
      <c r="E33" s="181"/>
      <c r="F33" s="189"/>
      <c r="G33" s="181"/>
      <c r="H33" s="189"/>
      <c r="I33" s="189"/>
      <c r="J33" s="181"/>
    </row>
    <row r="34" spans="1:12" x14ac:dyDescent="0.25">
      <c r="A34" s="189"/>
      <c r="B34" s="189"/>
      <c r="C34" s="188"/>
      <c r="D34" s="188"/>
      <c r="E34" s="189"/>
      <c r="F34" s="189"/>
      <c r="G34" s="181"/>
      <c r="H34" s="188"/>
      <c r="I34" s="189"/>
      <c r="J34" s="181"/>
    </row>
    <row r="35" spans="1:12" ht="15" customHeight="1" x14ac:dyDescent="0.25">
      <c r="A35" s="181"/>
      <c r="B35" s="189"/>
      <c r="C35" s="181"/>
      <c r="D35" s="188"/>
      <c r="E35" s="188"/>
      <c r="F35" s="189"/>
      <c r="G35" s="181"/>
      <c r="H35" s="189"/>
      <c r="I35" s="189"/>
      <c r="J35" s="181"/>
    </row>
    <row r="36" spans="1:12" x14ac:dyDescent="0.25">
      <c r="A36" s="181"/>
      <c r="B36" s="189"/>
      <c r="C36" s="181"/>
      <c r="D36" s="188"/>
      <c r="E36" s="190"/>
      <c r="F36" s="189"/>
      <c r="G36" s="189"/>
      <c r="H36" s="189"/>
      <c r="I36" s="189"/>
      <c r="J36" s="181"/>
    </row>
    <row r="37" spans="1:12" x14ac:dyDescent="0.25">
      <c r="A37" s="189"/>
      <c r="B37" s="189"/>
      <c r="C37" s="189"/>
      <c r="D37" s="189"/>
      <c r="E37" s="189"/>
      <c r="F37" s="189"/>
      <c r="G37" s="189"/>
      <c r="H37" s="189"/>
      <c r="I37" s="189"/>
      <c r="J37" s="181"/>
    </row>
    <row r="38" spans="1:12" x14ac:dyDescent="0.25">
      <c r="A38" s="189"/>
      <c r="B38" s="189"/>
      <c r="C38" s="189"/>
      <c r="D38" s="189"/>
      <c r="E38" s="189"/>
      <c r="F38" s="189"/>
      <c r="G38" s="189"/>
      <c r="H38" s="189"/>
      <c r="I38" s="189"/>
    </row>
    <row r="39" spans="1:12" ht="9.75" customHeight="1" x14ac:dyDescent="0.25">
      <c r="A39" s="191"/>
      <c r="B39" s="189"/>
      <c r="C39" s="189"/>
      <c r="D39" s="189"/>
      <c r="E39" s="189"/>
      <c r="F39" s="189"/>
      <c r="G39" s="189"/>
      <c r="H39" s="189"/>
      <c r="I39" s="189"/>
    </row>
    <row r="40" spans="1:12" x14ac:dyDescent="0.25">
      <c r="A40" s="185"/>
      <c r="B40" s="179"/>
      <c r="C40" s="185"/>
      <c r="D40" s="186"/>
      <c r="E40" s="179"/>
      <c r="F40" s="179"/>
      <c r="G40" s="179"/>
      <c r="H40" s="179"/>
      <c r="I40" s="179"/>
      <c r="L40" s="188"/>
    </row>
    <row r="41" spans="1:12" x14ac:dyDescent="0.25">
      <c r="A41" s="185"/>
      <c r="B41" s="185"/>
      <c r="C41" s="185"/>
      <c r="D41" s="185"/>
      <c r="E41" s="187"/>
      <c r="F41" s="187"/>
      <c r="G41" s="187"/>
      <c r="H41" s="187"/>
      <c r="I41" s="187"/>
    </row>
    <row r="42" spans="1:12" x14ac:dyDescent="0.25">
      <c r="A42" s="187"/>
      <c r="B42" s="187"/>
      <c r="C42" s="188"/>
      <c r="D42" s="187"/>
      <c r="E42" s="187"/>
      <c r="F42" s="188"/>
      <c r="G42" s="179"/>
      <c r="H42" s="179"/>
      <c r="I42" s="179"/>
    </row>
    <row r="43" spans="1:12" x14ac:dyDescent="0.25">
      <c r="A43" s="181"/>
      <c r="B43" s="189"/>
      <c r="C43" s="181"/>
      <c r="D43" s="181"/>
      <c r="E43" s="181"/>
      <c r="F43" s="189"/>
      <c r="G43" s="181"/>
      <c r="H43" s="189"/>
      <c r="I43" s="189"/>
    </row>
    <row r="44" spans="1:12" ht="15" customHeight="1" x14ac:dyDescent="0.25">
      <c r="A44" s="181"/>
      <c r="B44" s="189"/>
      <c r="C44" s="181"/>
      <c r="D44" s="181"/>
      <c r="E44" s="181"/>
      <c r="F44" s="189"/>
      <c r="G44" s="181"/>
      <c r="H44" s="189"/>
      <c r="I44" s="189"/>
    </row>
    <row r="45" spans="1:12" x14ac:dyDescent="0.25">
      <c r="A45" s="189"/>
      <c r="B45" s="189"/>
      <c r="C45" s="188"/>
      <c r="D45" s="188"/>
      <c r="E45" s="189"/>
      <c r="F45" s="189"/>
      <c r="G45" s="181"/>
      <c r="H45" s="188"/>
      <c r="I45" s="189"/>
    </row>
    <row r="46" spans="1:12" x14ac:dyDescent="0.25">
      <c r="A46" s="181"/>
      <c r="B46" s="189"/>
      <c r="C46" s="181"/>
      <c r="D46" s="188"/>
      <c r="E46" s="188"/>
      <c r="F46" s="189"/>
      <c r="G46" s="181"/>
      <c r="H46" s="189"/>
      <c r="I46" s="189"/>
    </row>
    <row r="47" spans="1:12" x14ac:dyDescent="0.25">
      <c r="A47" s="181"/>
      <c r="B47" s="189"/>
      <c r="C47" s="181"/>
      <c r="D47" s="188"/>
      <c r="E47" s="190"/>
      <c r="F47" s="189"/>
      <c r="G47" s="189"/>
      <c r="H47" s="189"/>
      <c r="I47" s="189"/>
    </row>
    <row r="48" spans="1:12" x14ac:dyDescent="0.25">
      <c r="A48" s="189"/>
      <c r="B48" s="189"/>
      <c r="C48" s="189"/>
      <c r="D48" s="189"/>
      <c r="E48" s="189"/>
      <c r="F48" s="189"/>
      <c r="G48" s="189"/>
      <c r="H48" s="189"/>
      <c r="I48" s="189"/>
    </row>
    <row r="49" spans="1:9" x14ac:dyDescent="0.25">
      <c r="A49" s="189"/>
      <c r="B49" s="189"/>
      <c r="C49" s="189"/>
      <c r="D49" s="189"/>
      <c r="E49" s="189"/>
      <c r="F49" s="189"/>
      <c r="G49" s="189"/>
      <c r="H49" s="189"/>
      <c r="I49" s="189"/>
    </row>
    <row r="50" spans="1:9" x14ac:dyDescent="0.25">
      <c r="A50" s="245"/>
      <c r="B50" s="245"/>
      <c r="C50" s="188"/>
      <c r="D50" s="188"/>
      <c r="E50" s="189"/>
      <c r="F50" s="189"/>
      <c r="G50" s="181"/>
      <c r="H50" s="188"/>
      <c r="I50" s="189"/>
    </row>
    <row r="51" spans="1:9" x14ac:dyDescent="0.25">
      <c r="A51" s="181"/>
      <c r="B51" s="189"/>
      <c r="C51" s="181"/>
      <c r="D51" s="188"/>
      <c r="E51" s="188"/>
      <c r="F51" s="245"/>
      <c r="G51" s="181"/>
      <c r="H51" s="189"/>
      <c r="I51" s="245"/>
    </row>
    <row r="52" spans="1:9" x14ac:dyDescent="0.25">
      <c r="A52" s="181"/>
      <c r="B52" s="189"/>
      <c r="C52" s="181"/>
      <c r="D52" s="188"/>
      <c r="E52" s="190"/>
      <c r="F52" s="245"/>
      <c r="G52" s="189"/>
      <c r="H52" s="189"/>
      <c r="I52" s="245"/>
    </row>
    <row r="80" spans="2:2" hidden="1" x14ac:dyDescent="0.25">
      <c r="B80" s="169" t="s">
        <v>148</v>
      </c>
    </row>
    <row r="81" spans="2:2" hidden="1" x14ac:dyDescent="0.25">
      <c r="B81" s="169" t="s">
        <v>211</v>
      </c>
    </row>
  </sheetData>
  <mergeCells count="32">
    <mergeCell ref="A12:B12"/>
    <mergeCell ref="E12:F12"/>
    <mergeCell ref="A1:B5"/>
    <mergeCell ref="C1:I2"/>
    <mergeCell ref="C3:D4"/>
    <mergeCell ref="E3:F4"/>
    <mergeCell ref="G3:G4"/>
    <mergeCell ref="H3:I4"/>
    <mergeCell ref="D5:E5"/>
    <mergeCell ref="G5:I5"/>
    <mergeCell ref="A9:B9"/>
    <mergeCell ref="D9:E9"/>
    <mergeCell ref="G9:H9"/>
    <mergeCell ref="B10:B11"/>
    <mergeCell ref="F10:F11"/>
    <mergeCell ref="H10:I11"/>
    <mergeCell ref="A6:I6"/>
    <mergeCell ref="E7:F7"/>
    <mergeCell ref="G7:I7"/>
    <mergeCell ref="E8:F8"/>
    <mergeCell ref="G8:I8"/>
    <mergeCell ref="L14:L15"/>
    <mergeCell ref="A50:B50"/>
    <mergeCell ref="F51:F52"/>
    <mergeCell ref="I51:I52"/>
    <mergeCell ref="G15:I15"/>
    <mergeCell ref="A16:F16"/>
    <mergeCell ref="G16:I16"/>
    <mergeCell ref="A17:I17"/>
    <mergeCell ref="A15:F15"/>
    <mergeCell ref="F13:F14"/>
    <mergeCell ref="I13:I14"/>
  </mergeCells>
  <conditionalFormatting sqref="I13:I14">
    <cfRule type="expression" dxfId="3" priority="1">
      <formula>$N$12=1</formula>
    </cfRule>
    <cfRule type="expression" dxfId="2" priority="2">
      <formula>$N$12=2</formula>
    </cfRule>
  </conditionalFormatting>
  <dataValidations count="3">
    <dataValidation type="list" allowBlank="1" showInputMessage="1" showErrorMessage="1" sqref="G15:I15" xr:uid="{00000000-0002-0000-0200-000000000000}">
      <formula1>"Felix Serrano,Edwin Jimeno,Daniel Bastidas,Willy Corzo,Jose Gil,Jorge Santander,Diana Delgado,Diego Herrera,Carmelo Bejarano, Yilmar Espeleta, Carlos Monroy"</formula1>
    </dataValidation>
    <dataValidation type="list" allowBlank="1" showInputMessage="1" showErrorMessage="1" sqref="G7:I7" xr:uid="{00000000-0002-0000-0200-000001000000}">
      <formula1>"TK 502,TK501,TK 640,TK 650,TK 680,TK 690,TK 700,TK 650 DRENA,TK 680 DRENA,TK 690 DRENA,TK 700 DRENA,TK 650 RECIBE,TK 680 RECIBE,TK 690 RECIBE,TK 700 RECIBE"</formula1>
    </dataValidation>
    <dataValidation type="list" allowBlank="1" showInputMessage="1" showErrorMessage="1" sqref="A16:F16" xr:uid="{00000000-0002-0000-0200-000002000000}">
      <formula1>$B$79:$B$82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garDatos">
                <anchor moveWithCells="1" sizeWithCells="1">
                  <from>
                    <xdr:col>9</xdr:col>
                    <xdr:colOff>409575</xdr:colOff>
                    <xdr:row>5</xdr:row>
                    <xdr:rowOff>180975</xdr:rowOff>
                  </from>
                  <to>
                    <xdr:col>11</xdr:col>
                    <xdr:colOff>171450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Option Button 9">
              <controlPr defaultSize="0" autoFill="0" autoLine="0" autoPict="0" macro="[0]!Macro1">
                <anchor moveWithCells="1">
                  <from>
                    <xdr:col>10</xdr:col>
                    <xdr:colOff>28575</xdr:colOff>
                    <xdr:row>7</xdr:row>
                    <xdr:rowOff>228600</xdr:rowOff>
                  </from>
                  <to>
                    <xdr:col>11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Option Button 10">
              <controlPr defaultSize="0" autoFill="0" autoLine="0" autoPict="0">
                <anchor moveWithCells="1">
                  <from>
                    <xdr:col>10</xdr:col>
                    <xdr:colOff>9525</xdr:colOff>
                    <xdr:row>9</xdr:row>
                    <xdr:rowOff>219075</xdr:rowOff>
                  </from>
                  <to>
                    <xdr:col>11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Group Box 14">
              <controlPr defaultSize="0" autoFill="0" autoPict="0">
                <anchor moveWithCells="1">
                  <from>
                    <xdr:col>10</xdr:col>
                    <xdr:colOff>9525</xdr:colOff>
                    <xdr:row>0</xdr:row>
                    <xdr:rowOff>66675</xdr:rowOff>
                  </from>
                  <to>
                    <xdr:col>11</xdr:col>
                    <xdr:colOff>95250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Option Button 15">
              <controlPr defaultSize="0" autoFill="0" autoLine="0" autoPict="0">
                <anchor moveWithCells="1">
                  <from>
                    <xdr:col>10</xdr:col>
                    <xdr:colOff>66675</xdr:colOff>
                    <xdr:row>1</xdr:row>
                    <xdr:rowOff>76200</xdr:rowOff>
                  </from>
                  <to>
                    <xdr:col>11</xdr:col>
                    <xdr:colOff>38100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Option Button 18">
              <controlPr defaultSize="0" autoFill="0" autoLine="0" autoPict="0">
                <anchor moveWithCells="1">
                  <from>
                    <xdr:col>10</xdr:col>
                    <xdr:colOff>76200</xdr:colOff>
                    <xdr:row>3</xdr:row>
                    <xdr:rowOff>114300</xdr:rowOff>
                  </from>
                  <to>
                    <xdr:col>10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pageSetUpPr fitToPage="1"/>
  </sheetPr>
  <dimension ref="A1:AA76"/>
  <sheetViews>
    <sheetView view="pageBreakPreview" topLeftCell="A13" zoomScale="110" zoomScaleNormal="115" zoomScaleSheetLayoutView="110" workbookViewId="0">
      <selection activeCell="E32" sqref="E32"/>
    </sheetView>
  </sheetViews>
  <sheetFormatPr baseColWidth="10" defaultRowHeight="15" x14ac:dyDescent="0.25"/>
  <cols>
    <col min="1" max="1" width="2.140625" customWidth="1"/>
    <col min="9" max="10" width="5.7109375" customWidth="1"/>
    <col min="12" max="12" width="2.140625" customWidth="1"/>
    <col min="15" max="17" width="0" hidden="1" customWidth="1"/>
    <col min="18" max="18" width="52.85546875" hidden="1" customWidth="1"/>
  </cols>
  <sheetData>
    <row r="1" spans="1:27" ht="11.25" customHeight="1" thickBot="1" x14ac:dyDescent="0.3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4"/>
    </row>
    <row r="2" spans="1:27" ht="20.100000000000001" customHeight="1" thickBot="1" x14ac:dyDescent="0.3">
      <c r="A2" s="85"/>
      <c r="B2" s="346"/>
      <c r="C2" s="347"/>
      <c r="D2" s="347"/>
      <c r="E2" s="354" t="s">
        <v>91</v>
      </c>
      <c r="F2" s="355"/>
      <c r="G2" s="355"/>
      <c r="H2" s="355"/>
      <c r="I2" s="355"/>
      <c r="J2" s="355"/>
      <c r="K2" s="356"/>
      <c r="L2" s="85"/>
      <c r="R2" s="342" t="s">
        <v>92</v>
      </c>
      <c r="S2" s="343"/>
      <c r="T2" s="343"/>
      <c r="U2" s="343"/>
      <c r="V2" s="343"/>
      <c r="W2" s="343"/>
      <c r="X2" s="343"/>
      <c r="Y2" s="343"/>
      <c r="Z2" s="343"/>
      <c r="AA2" s="344"/>
    </row>
    <row r="3" spans="1:27" ht="20.100000000000001" customHeight="1" x14ac:dyDescent="0.25">
      <c r="A3" s="86"/>
      <c r="B3" s="348"/>
      <c r="C3" s="296"/>
      <c r="D3" s="296"/>
      <c r="E3" s="357"/>
      <c r="F3" s="358"/>
      <c r="G3" s="358"/>
      <c r="H3" s="358"/>
      <c r="I3" s="358"/>
      <c r="J3" s="358"/>
      <c r="K3" s="359"/>
      <c r="L3" s="87"/>
    </row>
    <row r="4" spans="1:27" ht="20.100000000000001" customHeight="1" x14ac:dyDescent="0.25">
      <c r="A4" s="86"/>
      <c r="B4" s="348"/>
      <c r="C4" s="296"/>
      <c r="D4" s="296"/>
      <c r="E4" s="357"/>
      <c r="F4" s="358"/>
      <c r="G4" s="358"/>
      <c r="H4" s="358"/>
      <c r="I4" s="358"/>
      <c r="J4" s="358"/>
      <c r="K4" s="359"/>
      <c r="L4" s="87"/>
    </row>
    <row r="5" spans="1:27" ht="15.75" thickBot="1" x14ac:dyDescent="0.3">
      <c r="A5" s="86"/>
      <c r="B5" s="349"/>
      <c r="C5" s="350"/>
      <c r="D5" s="350"/>
      <c r="E5" s="360"/>
      <c r="F5" s="361"/>
      <c r="G5" s="361"/>
      <c r="H5" s="361"/>
      <c r="I5" s="361"/>
      <c r="J5" s="361"/>
      <c r="K5" s="362"/>
      <c r="L5" s="87"/>
    </row>
    <row r="6" spans="1:27" ht="7.5" customHeight="1" thickBot="1" x14ac:dyDescent="0.3">
      <c r="A6" s="86"/>
      <c r="B6" s="88"/>
      <c r="C6" s="88"/>
      <c r="D6" s="88"/>
      <c r="E6" s="88"/>
      <c r="F6" s="88"/>
      <c r="G6" s="88"/>
      <c r="H6" s="88"/>
      <c r="I6" s="88"/>
      <c r="J6" s="88"/>
      <c r="K6" s="88"/>
      <c r="L6" s="87"/>
    </row>
    <row r="7" spans="1:27" ht="15" customHeight="1" thickBot="1" x14ac:dyDescent="0.3">
      <c r="A7" s="86"/>
      <c r="B7" s="342" t="s">
        <v>92</v>
      </c>
      <c r="C7" s="343"/>
      <c r="D7" s="343"/>
      <c r="E7" s="343"/>
      <c r="F7" s="343"/>
      <c r="G7" s="343"/>
      <c r="H7" s="343"/>
      <c r="I7" s="343"/>
      <c r="J7" s="343"/>
      <c r="K7" s="344"/>
      <c r="L7" s="87"/>
    </row>
    <row r="8" spans="1:27" ht="7.5" customHeight="1" x14ac:dyDescent="0.25">
      <c r="A8" s="86"/>
      <c r="B8" s="89"/>
      <c r="C8" s="90"/>
      <c r="D8" s="90"/>
      <c r="E8" s="90"/>
      <c r="F8" s="90"/>
      <c r="G8" s="90"/>
      <c r="H8" s="90"/>
      <c r="I8" s="90"/>
      <c r="J8" s="90"/>
      <c r="K8" s="91"/>
      <c r="L8" s="87"/>
    </row>
    <row r="9" spans="1:27" x14ac:dyDescent="0.25">
      <c r="A9" s="86"/>
      <c r="B9" s="328" t="s">
        <v>93</v>
      </c>
      <c r="C9" s="293"/>
      <c r="D9" s="352" t="s">
        <v>94</v>
      </c>
      <c r="E9" s="352"/>
      <c r="F9" s="88"/>
      <c r="G9" s="293" t="s">
        <v>95</v>
      </c>
      <c r="H9" s="293"/>
      <c r="I9" s="352" t="str">
        <f ca="1">TEXT(I11, "ddmmyyyy")&amp;D20</f>
        <v>16082019TK 502</v>
      </c>
      <c r="J9" s="352"/>
      <c r="K9" s="353"/>
      <c r="L9" s="87"/>
    </row>
    <row r="10" spans="1:27" x14ac:dyDescent="0.25">
      <c r="A10" s="86"/>
      <c r="B10" s="328" t="s">
        <v>96</v>
      </c>
      <c r="C10" s="293"/>
      <c r="D10" s="331">
        <v>3004527</v>
      </c>
      <c r="E10" s="331"/>
      <c r="F10" s="88"/>
      <c r="G10" s="293" t="s">
        <v>97</v>
      </c>
      <c r="H10" s="293"/>
      <c r="I10" s="331" t="s">
        <v>98</v>
      </c>
      <c r="J10" s="331"/>
      <c r="K10" s="332"/>
      <c r="L10" s="87"/>
    </row>
    <row r="11" spans="1:27" x14ac:dyDescent="0.25">
      <c r="A11" s="86"/>
      <c r="B11" s="328" t="s">
        <v>99</v>
      </c>
      <c r="C11" s="293"/>
      <c r="D11" s="331" t="s">
        <v>28</v>
      </c>
      <c r="E11" s="331"/>
      <c r="F11" s="88"/>
      <c r="G11" s="293" t="s">
        <v>100</v>
      </c>
      <c r="H11" s="293"/>
      <c r="I11" s="330">
        <f ca="1">ANALITO!B7</f>
        <v>43693</v>
      </c>
      <c r="J11" s="331"/>
      <c r="K11" s="332"/>
      <c r="L11" s="87"/>
    </row>
    <row r="12" spans="1:27" x14ac:dyDescent="0.25">
      <c r="A12" s="86"/>
      <c r="B12" s="328" t="s">
        <v>101</v>
      </c>
      <c r="C12" s="293"/>
      <c r="D12" s="331" t="s">
        <v>102</v>
      </c>
      <c r="E12" s="331"/>
      <c r="F12" s="88"/>
      <c r="G12" s="293" t="s">
        <v>103</v>
      </c>
      <c r="H12" s="293"/>
      <c r="I12" s="331" t="s">
        <v>104</v>
      </c>
      <c r="J12" s="331"/>
      <c r="K12" s="332"/>
      <c r="L12" s="87"/>
    </row>
    <row r="13" spans="1:27" ht="7.5" customHeight="1" thickBot="1" x14ac:dyDescent="0.3">
      <c r="A13" s="86"/>
      <c r="B13" s="92"/>
      <c r="C13" s="93"/>
      <c r="D13" s="94"/>
      <c r="E13" s="94"/>
      <c r="F13" s="95"/>
      <c r="G13" s="95"/>
      <c r="H13" s="95"/>
      <c r="I13" s="95"/>
      <c r="J13" s="95"/>
      <c r="K13" s="96"/>
      <c r="L13" s="87"/>
    </row>
    <row r="14" spans="1:27" ht="7.5" customHeight="1" thickBot="1" x14ac:dyDescent="0.3">
      <c r="A14" s="86"/>
      <c r="B14" s="97"/>
      <c r="C14" s="97"/>
      <c r="D14" s="98"/>
      <c r="E14" s="98"/>
      <c r="F14" s="88"/>
      <c r="G14" s="88"/>
      <c r="H14" s="88"/>
      <c r="I14" s="88"/>
      <c r="J14" s="88"/>
      <c r="K14" s="88"/>
      <c r="L14" s="87"/>
    </row>
    <row r="15" spans="1:27" ht="15" customHeight="1" thickBot="1" x14ac:dyDescent="0.3">
      <c r="A15" s="86"/>
      <c r="B15" s="342" t="s">
        <v>105</v>
      </c>
      <c r="C15" s="343"/>
      <c r="D15" s="343"/>
      <c r="E15" s="343"/>
      <c r="F15" s="343"/>
      <c r="G15" s="343"/>
      <c r="H15" s="343"/>
      <c r="I15" s="343"/>
      <c r="J15" s="343"/>
      <c r="K15" s="344"/>
      <c r="L15" s="87"/>
    </row>
    <row r="16" spans="1:27" ht="7.5" customHeight="1" x14ac:dyDescent="0.25">
      <c r="A16" s="86"/>
      <c r="B16" s="89"/>
      <c r="C16" s="90"/>
      <c r="D16" s="90"/>
      <c r="E16" s="90"/>
      <c r="F16" s="90"/>
      <c r="G16" s="90"/>
      <c r="H16" s="90"/>
      <c r="I16" s="90"/>
      <c r="J16" s="90"/>
      <c r="K16" s="91"/>
      <c r="L16" s="87"/>
    </row>
    <row r="17" spans="1:19" x14ac:dyDescent="0.25">
      <c r="A17" s="86"/>
      <c r="B17" s="328" t="s">
        <v>106</v>
      </c>
      <c r="C17" s="293"/>
      <c r="D17" s="351">
        <f>ANALITO!D7</f>
        <v>2179</v>
      </c>
      <c r="E17" s="351"/>
      <c r="F17" s="88"/>
      <c r="G17" s="293" t="s">
        <v>107</v>
      </c>
      <c r="H17" s="293"/>
      <c r="I17" s="352" t="s">
        <v>108</v>
      </c>
      <c r="J17" s="352"/>
      <c r="K17" s="353"/>
      <c r="L17" s="87"/>
      <c r="Q17" s="99"/>
      <c r="R17" s="100"/>
    </row>
    <row r="18" spans="1:19" x14ac:dyDescent="0.25">
      <c r="A18" s="86"/>
      <c r="B18" s="328" t="s">
        <v>109</v>
      </c>
      <c r="C18" s="293"/>
      <c r="D18" s="331" t="s">
        <v>110</v>
      </c>
      <c r="E18" s="331"/>
      <c r="F18" s="88"/>
      <c r="G18" s="293" t="s">
        <v>111</v>
      </c>
      <c r="H18" s="293"/>
      <c r="I18" s="331" t="s">
        <v>112</v>
      </c>
      <c r="J18" s="331"/>
      <c r="K18" s="332"/>
      <c r="L18" s="87"/>
      <c r="Q18" s="99"/>
      <c r="R18" s="100"/>
      <c r="S18" t="str">
        <f>ANALITO!G7</f>
        <v>TK 502</v>
      </c>
    </row>
    <row r="19" spans="1:19" x14ac:dyDescent="0.25">
      <c r="A19" s="86"/>
      <c r="B19" s="328" t="s">
        <v>113</v>
      </c>
      <c r="C19" s="293"/>
      <c r="D19" s="329" t="s">
        <v>114</v>
      </c>
      <c r="E19" s="329"/>
      <c r="F19" s="88"/>
      <c r="G19" s="293" t="s">
        <v>115</v>
      </c>
      <c r="H19" s="293"/>
      <c r="I19" s="330">
        <f ca="1">I11</f>
        <v>43693</v>
      </c>
      <c r="J19" s="331"/>
      <c r="K19" s="332"/>
      <c r="L19" s="87"/>
      <c r="Q19" s="99"/>
      <c r="R19" s="100"/>
      <c r="S19" t="str">
        <f>ANALITO!G7</f>
        <v>TK 502</v>
      </c>
    </row>
    <row r="20" spans="1:19" x14ac:dyDescent="0.25">
      <c r="A20" s="86"/>
      <c r="B20" s="328" t="s">
        <v>116</v>
      </c>
      <c r="C20" s="293"/>
      <c r="D20" s="345" t="str">
        <f>ANALITO!G7</f>
        <v>TK 502</v>
      </c>
      <c r="E20" s="345"/>
      <c r="F20" s="88"/>
      <c r="G20" s="293" t="s">
        <v>117</v>
      </c>
      <c r="H20" s="293"/>
      <c r="I20" s="330">
        <f ca="1">I11</f>
        <v>43693</v>
      </c>
      <c r="J20" s="331"/>
      <c r="K20" s="332"/>
      <c r="L20" s="87"/>
      <c r="Q20" s="99"/>
      <c r="R20" s="100"/>
    </row>
    <row r="21" spans="1:19" x14ac:dyDescent="0.25">
      <c r="A21" s="86"/>
      <c r="B21" s="328" t="s">
        <v>118</v>
      </c>
      <c r="C21" s="293"/>
      <c r="D21" s="331" t="s">
        <v>119</v>
      </c>
      <c r="E21" s="331"/>
      <c r="F21" s="88"/>
      <c r="G21" s="293" t="s">
        <v>120</v>
      </c>
      <c r="H21" s="293"/>
      <c r="I21" s="330">
        <f ca="1">I11</f>
        <v>43693</v>
      </c>
      <c r="J21" s="331"/>
      <c r="K21" s="332"/>
      <c r="L21" s="87"/>
      <c r="Q21" s="99"/>
      <c r="R21" s="100"/>
    </row>
    <row r="22" spans="1:19" ht="7.5" customHeight="1" thickBot="1" x14ac:dyDescent="0.3">
      <c r="A22" s="86"/>
      <c r="B22" s="92"/>
      <c r="C22" s="93"/>
      <c r="D22" s="94"/>
      <c r="E22" s="94"/>
      <c r="F22" s="95"/>
      <c r="G22" s="95"/>
      <c r="H22" s="95"/>
      <c r="I22" s="95"/>
      <c r="J22" s="95"/>
      <c r="K22" s="96"/>
      <c r="L22" s="87"/>
      <c r="Q22" s="99"/>
      <c r="R22" s="100"/>
    </row>
    <row r="23" spans="1:19" ht="7.5" customHeight="1" thickBot="1" x14ac:dyDescent="0.3">
      <c r="A23" s="86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7"/>
      <c r="Q23" s="99"/>
      <c r="R23" s="100"/>
    </row>
    <row r="24" spans="1:19" ht="15" customHeight="1" thickBot="1" x14ac:dyDescent="0.3">
      <c r="A24" s="86"/>
      <c r="B24" s="333" t="s">
        <v>121</v>
      </c>
      <c r="C24" s="334"/>
      <c r="D24" s="334"/>
      <c r="E24" s="334"/>
      <c r="F24" s="334"/>
      <c r="G24" s="334"/>
      <c r="H24" s="334"/>
      <c r="I24" s="334"/>
      <c r="J24" s="334"/>
      <c r="K24" s="335"/>
      <c r="L24" s="87"/>
      <c r="Q24" s="99"/>
      <c r="R24" s="100"/>
    </row>
    <row r="25" spans="1:19" ht="15" customHeight="1" thickBot="1" x14ac:dyDescent="0.3">
      <c r="A25" s="101"/>
      <c r="B25" s="336" t="s">
        <v>122</v>
      </c>
      <c r="C25" s="337"/>
      <c r="D25" s="337"/>
      <c r="E25" s="102" t="s">
        <v>123</v>
      </c>
      <c r="F25" s="103" t="s">
        <v>124</v>
      </c>
      <c r="G25" s="102" t="s">
        <v>125</v>
      </c>
      <c r="H25" s="104" t="s">
        <v>126</v>
      </c>
      <c r="I25" s="338" t="s">
        <v>127</v>
      </c>
      <c r="J25" s="338"/>
      <c r="K25" s="105" t="s">
        <v>128</v>
      </c>
      <c r="L25" s="87"/>
      <c r="Q25" s="99"/>
      <c r="R25" s="100"/>
    </row>
    <row r="26" spans="1:19" x14ac:dyDescent="0.25">
      <c r="A26" s="101"/>
      <c r="B26" s="339"/>
      <c r="C26" s="340"/>
      <c r="D26" s="340"/>
      <c r="E26" s="106"/>
      <c r="F26" s="107"/>
      <c r="G26" s="108"/>
      <c r="H26" s="107"/>
      <c r="I26" s="341"/>
      <c r="J26" s="341"/>
      <c r="K26" s="109"/>
      <c r="L26" s="87"/>
      <c r="Q26" s="99"/>
      <c r="R26" s="100"/>
    </row>
    <row r="27" spans="1:19" ht="15" customHeight="1" x14ac:dyDescent="0.25">
      <c r="A27" s="110"/>
      <c r="B27" s="299" t="s">
        <v>129</v>
      </c>
      <c r="C27" s="300"/>
      <c r="D27" s="300"/>
      <c r="E27" s="111" t="s">
        <v>130</v>
      </c>
      <c r="F27" s="112" t="s">
        <v>131</v>
      </c>
      <c r="G27" s="113"/>
      <c r="H27" s="114"/>
      <c r="I27" s="327">
        <f>ANALITO!F10</f>
        <v>12.6</v>
      </c>
      <c r="J27" s="327"/>
      <c r="K27" s="115" t="s">
        <v>132</v>
      </c>
      <c r="L27" s="87"/>
      <c r="Q27" s="99"/>
      <c r="R27" s="100"/>
    </row>
    <row r="28" spans="1:19" ht="15" customHeight="1" x14ac:dyDescent="0.25">
      <c r="A28" s="110"/>
      <c r="B28" s="299" t="str">
        <f>IF(ANALITO!A16="BSW REALIZADO POR METODO DE CENTRIFUGA (ASTM D-4007)","ANALISIS POR CENTRIFUGA","ANALISIS POR KARL FISCHER")</f>
        <v>ANALISIS POR KARL FISCHER</v>
      </c>
      <c r="C28" s="300"/>
      <c r="D28" s="300"/>
      <c r="E28" s="111" t="str">
        <f>IF(ANALITO!A16="BSW REALIZADO POR METODO DE CENTRIFUGA (ASTM D-4007)","ASTM-D-4007","ASTM-D-4377")</f>
        <v>ASTM-D-4377</v>
      </c>
      <c r="F28" s="112" t="s">
        <v>135</v>
      </c>
      <c r="G28" s="113"/>
      <c r="H28" s="157">
        <f>(0.5-I29)/100</f>
        <v>4.8300000000000001E-3</v>
      </c>
      <c r="I28" s="325" t="str">
        <f>IF(ANALITO!A16="BSW REALIZADO POR METODO DE CENTRIFUGA (ASTM D-4007)",ANALITO!I13,ANALITO!H14)</f>
        <v/>
      </c>
      <c r="J28" s="326"/>
      <c r="K28" s="115" t="str">
        <f>IF(I28&lt;0.484,"Conforme","No Conforme")</f>
        <v>No Conforme</v>
      </c>
      <c r="L28" s="87"/>
      <c r="Q28" s="99"/>
      <c r="R28" s="100"/>
    </row>
    <row r="29" spans="1:19" x14ac:dyDescent="0.25">
      <c r="A29" s="110"/>
      <c r="B29" s="299" t="s">
        <v>136</v>
      </c>
      <c r="C29" s="300"/>
      <c r="D29" s="300"/>
      <c r="E29" s="106" t="s">
        <v>137</v>
      </c>
      <c r="F29" s="107" t="s">
        <v>135</v>
      </c>
      <c r="G29" s="108"/>
      <c r="H29" s="116"/>
      <c r="I29" s="323">
        <v>1.7000000000000001E-2</v>
      </c>
      <c r="J29" s="323"/>
      <c r="K29" s="115"/>
      <c r="L29" s="87"/>
      <c r="M29" s="156"/>
      <c r="Q29" s="99"/>
      <c r="R29" s="100"/>
    </row>
    <row r="30" spans="1:19" x14ac:dyDescent="0.25">
      <c r="A30" s="110"/>
      <c r="B30" s="299" t="s">
        <v>138</v>
      </c>
      <c r="C30" s="300"/>
      <c r="D30" s="300"/>
      <c r="E30" s="106" t="s">
        <v>139</v>
      </c>
      <c r="F30" s="107" t="s">
        <v>140</v>
      </c>
      <c r="G30" s="108"/>
      <c r="H30" s="117"/>
      <c r="I30" s="327">
        <v>5.4</v>
      </c>
      <c r="J30" s="327"/>
      <c r="K30" s="115"/>
      <c r="L30" s="87"/>
      <c r="Q30" s="99"/>
      <c r="R30" s="100"/>
    </row>
    <row r="31" spans="1:19" x14ac:dyDescent="0.25">
      <c r="A31" s="110"/>
      <c r="B31" s="299" t="s">
        <v>141</v>
      </c>
      <c r="C31" s="300"/>
      <c r="D31" s="300"/>
      <c r="E31" s="106" t="s">
        <v>142</v>
      </c>
      <c r="F31" s="107" t="s">
        <v>143</v>
      </c>
      <c r="G31" s="108"/>
      <c r="H31" s="117"/>
      <c r="I31" s="323">
        <v>4728</v>
      </c>
      <c r="J31" s="324"/>
      <c r="K31" s="115"/>
      <c r="L31" s="87"/>
      <c r="Q31" s="99"/>
      <c r="R31" s="100"/>
    </row>
    <row r="32" spans="1:19" x14ac:dyDescent="0.25">
      <c r="A32" s="110"/>
      <c r="B32" s="299" t="s">
        <v>144</v>
      </c>
      <c r="C32" s="300"/>
      <c r="D32" s="300"/>
      <c r="E32" s="106" t="s">
        <v>209</v>
      </c>
      <c r="F32" s="107" t="s">
        <v>145</v>
      </c>
      <c r="G32" s="108"/>
      <c r="H32" s="117"/>
      <c r="I32" s="301">
        <v>1.24</v>
      </c>
      <c r="J32" s="301"/>
      <c r="K32" s="115"/>
      <c r="L32" s="87"/>
      <c r="Q32" s="99"/>
      <c r="R32" s="118"/>
    </row>
    <row r="33" spans="1:26" x14ac:dyDescent="0.25">
      <c r="A33" s="110"/>
      <c r="B33" s="299"/>
      <c r="C33" s="300"/>
      <c r="D33" s="300"/>
      <c r="E33" s="106"/>
      <c r="F33" s="107"/>
      <c r="G33" s="108"/>
      <c r="H33" s="107"/>
      <c r="I33" s="301"/>
      <c r="J33" s="301"/>
      <c r="K33" s="115"/>
      <c r="L33" s="87"/>
      <c r="Q33" s="99"/>
      <c r="R33" s="118"/>
    </row>
    <row r="34" spans="1:26" x14ac:dyDescent="0.25">
      <c r="A34" s="110"/>
      <c r="B34" s="299"/>
      <c r="C34" s="300"/>
      <c r="D34" s="300"/>
      <c r="E34" s="106"/>
      <c r="F34" s="107"/>
      <c r="G34" s="108"/>
      <c r="H34" s="107"/>
      <c r="I34" s="301"/>
      <c r="J34" s="301"/>
      <c r="K34" s="115"/>
      <c r="L34" s="87"/>
      <c r="Q34" s="99"/>
      <c r="R34" s="119"/>
    </row>
    <row r="35" spans="1:26" x14ac:dyDescent="0.25">
      <c r="A35" s="110"/>
      <c r="B35" s="299"/>
      <c r="C35" s="300"/>
      <c r="D35" s="300"/>
      <c r="E35" s="106"/>
      <c r="F35" s="107"/>
      <c r="G35" s="108"/>
      <c r="H35" s="107"/>
      <c r="I35" s="301"/>
      <c r="J35" s="301"/>
      <c r="K35" s="115"/>
      <c r="L35" s="87"/>
      <c r="Q35" s="99"/>
      <c r="R35" s="119"/>
    </row>
    <row r="36" spans="1:26" x14ac:dyDescent="0.25">
      <c r="A36" s="110"/>
      <c r="B36" s="299"/>
      <c r="C36" s="300"/>
      <c r="D36" s="300"/>
      <c r="E36" s="106"/>
      <c r="F36" s="107"/>
      <c r="G36" s="108"/>
      <c r="H36" s="107"/>
      <c r="I36" s="301"/>
      <c r="J36" s="301"/>
      <c r="K36" s="115"/>
      <c r="L36" s="87"/>
      <c r="Q36" s="99"/>
      <c r="R36" s="100"/>
    </row>
    <row r="37" spans="1:26" x14ac:dyDescent="0.25">
      <c r="A37" s="110"/>
      <c r="B37" s="299"/>
      <c r="C37" s="300"/>
      <c r="D37" s="300"/>
      <c r="E37" s="106"/>
      <c r="F37" s="107"/>
      <c r="G37" s="108"/>
      <c r="H37" s="107"/>
      <c r="I37" s="301"/>
      <c r="J37" s="301"/>
      <c r="K37" s="115"/>
      <c r="L37" s="87"/>
      <c r="Q37" s="99"/>
      <c r="R37" s="100"/>
    </row>
    <row r="38" spans="1:26" x14ac:dyDescent="0.25">
      <c r="A38" s="110"/>
      <c r="B38" s="299"/>
      <c r="C38" s="300"/>
      <c r="D38" s="300"/>
      <c r="E38" s="111"/>
      <c r="F38" s="120"/>
      <c r="G38" s="121"/>
      <c r="H38" s="112"/>
      <c r="I38" s="122"/>
      <c r="J38" s="122"/>
      <c r="K38" s="115"/>
      <c r="L38" s="87"/>
      <c r="Q38" s="99"/>
      <c r="R38" s="100"/>
    </row>
    <row r="39" spans="1:26" x14ac:dyDescent="0.25">
      <c r="A39" s="110"/>
      <c r="B39" s="299"/>
      <c r="C39" s="300"/>
      <c r="D39" s="300"/>
      <c r="E39" s="111"/>
      <c r="F39" s="120"/>
      <c r="G39" s="121"/>
      <c r="H39" s="112"/>
      <c r="I39" s="122"/>
      <c r="J39" s="122"/>
      <c r="K39" s="115"/>
      <c r="L39" s="87"/>
      <c r="Q39" s="99"/>
      <c r="R39" s="100"/>
    </row>
    <row r="40" spans="1:26" ht="15.75" thickBot="1" x14ac:dyDescent="0.3">
      <c r="A40" s="110"/>
      <c r="B40" s="123"/>
      <c r="C40" s="124"/>
      <c r="D40" s="124"/>
      <c r="E40" s="125"/>
      <c r="F40" s="126"/>
      <c r="G40" s="127"/>
      <c r="H40" s="128"/>
      <c r="I40" s="129"/>
      <c r="J40" s="129"/>
      <c r="K40" s="115"/>
      <c r="L40" s="87"/>
      <c r="Q40" s="99"/>
      <c r="R40" s="100"/>
    </row>
    <row r="41" spans="1:26" ht="18.75" customHeight="1" x14ac:dyDescent="0.25">
      <c r="A41" s="86"/>
      <c r="B41" s="302" t="s">
        <v>146</v>
      </c>
      <c r="C41" s="303"/>
      <c r="D41" s="303"/>
      <c r="E41" s="308"/>
      <c r="F41" s="309"/>
      <c r="G41" s="309"/>
      <c r="H41" s="309"/>
      <c r="I41" s="309"/>
      <c r="J41" s="309"/>
      <c r="K41" s="310"/>
      <c r="L41" s="87"/>
      <c r="Q41" s="99"/>
      <c r="R41" s="100"/>
    </row>
    <row r="42" spans="1:26" ht="18.75" customHeight="1" x14ac:dyDescent="0.25">
      <c r="A42" s="86"/>
      <c r="B42" s="304"/>
      <c r="C42" s="305"/>
      <c r="D42" s="305"/>
      <c r="E42" s="311"/>
      <c r="F42" s="312"/>
      <c r="G42" s="312"/>
      <c r="H42" s="312"/>
      <c r="I42" s="312"/>
      <c r="J42" s="312"/>
      <c r="K42" s="313"/>
      <c r="L42" s="87"/>
      <c r="Q42" s="99"/>
      <c r="R42" s="100"/>
    </row>
    <row r="43" spans="1:26" ht="18.75" customHeight="1" thickBot="1" x14ac:dyDescent="0.3">
      <c r="A43" s="86"/>
      <c r="B43" s="306"/>
      <c r="C43" s="307"/>
      <c r="D43" s="307"/>
      <c r="E43" s="314"/>
      <c r="F43" s="315"/>
      <c r="G43" s="315"/>
      <c r="H43" s="315"/>
      <c r="I43" s="315"/>
      <c r="J43" s="315"/>
      <c r="K43" s="316"/>
      <c r="L43" s="87"/>
    </row>
    <row r="44" spans="1:26" ht="28.5" customHeight="1" thickBot="1" x14ac:dyDescent="0.3">
      <c r="A44" s="86"/>
      <c r="B44" s="317" t="s">
        <v>147</v>
      </c>
      <c r="C44" s="318"/>
      <c r="D44" s="318"/>
      <c r="E44" s="319" t="s">
        <v>148</v>
      </c>
      <c r="F44" s="319"/>
      <c r="G44" s="319"/>
      <c r="H44" s="319"/>
      <c r="I44" s="320" t="s">
        <v>149</v>
      </c>
      <c r="J44" s="320"/>
      <c r="K44" s="130" t="s">
        <v>98</v>
      </c>
      <c r="L44" s="87"/>
    </row>
    <row r="45" spans="1:26" ht="18.75" customHeight="1" thickBot="1" x14ac:dyDescent="0.3">
      <c r="A45" s="86"/>
      <c r="B45" s="317" t="s">
        <v>150</v>
      </c>
      <c r="C45" s="318"/>
      <c r="D45" s="318"/>
      <c r="E45" s="321" t="s">
        <v>151</v>
      </c>
      <c r="F45" s="321"/>
      <c r="G45" s="321"/>
      <c r="H45" s="321"/>
      <c r="I45" s="321"/>
      <c r="J45" s="321"/>
      <c r="K45" s="322"/>
      <c r="L45" s="87"/>
    </row>
    <row r="46" spans="1:26" x14ac:dyDescent="0.25">
      <c r="A46" s="86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87"/>
      <c r="R46" s="131" t="s">
        <v>152</v>
      </c>
      <c r="V46" t="s">
        <v>153</v>
      </c>
      <c r="W46" t="s">
        <v>154</v>
      </c>
      <c r="X46" t="s">
        <v>154</v>
      </c>
      <c r="Y46" t="s">
        <v>154</v>
      </c>
      <c r="Z46" t="s">
        <v>154</v>
      </c>
    </row>
    <row r="47" spans="1:26" x14ac:dyDescent="0.25">
      <c r="A47" s="86"/>
      <c r="B47" s="293" t="s">
        <v>155</v>
      </c>
      <c r="C47" s="293"/>
      <c r="D47" s="298">
        <f>ANALITO!G15</f>
        <v>0</v>
      </c>
      <c r="E47" s="298"/>
      <c r="F47" s="298"/>
      <c r="G47" s="295" t="s">
        <v>156</v>
      </c>
      <c r="H47" s="295"/>
      <c r="I47" s="298" t="s">
        <v>157</v>
      </c>
      <c r="J47" s="298"/>
      <c r="K47" s="298"/>
      <c r="L47" s="87"/>
      <c r="R47" s="100"/>
    </row>
    <row r="48" spans="1:26" x14ac:dyDescent="0.25">
      <c r="A48" s="86"/>
      <c r="B48" s="293" t="s">
        <v>158</v>
      </c>
      <c r="C48" s="293"/>
      <c r="D48" s="294" t="s">
        <v>159</v>
      </c>
      <c r="E48" s="294"/>
      <c r="F48" s="294"/>
      <c r="G48" s="295" t="s">
        <v>158</v>
      </c>
      <c r="H48" s="295"/>
      <c r="I48" s="294" t="s">
        <v>160</v>
      </c>
      <c r="J48" s="294"/>
      <c r="K48" s="294"/>
      <c r="L48" s="87"/>
      <c r="R48" s="100"/>
    </row>
    <row r="49" spans="1:18" x14ac:dyDescent="0.25">
      <c r="A49" s="86"/>
      <c r="B49" s="296"/>
      <c r="C49" s="296"/>
      <c r="D49" s="22"/>
      <c r="E49" s="22"/>
      <c r="F49" s="22"/>
      <c r="G49" s="22"/>
      <c r="H49" s="22"/>
      <c r="I49" s="22"/>
      <c r="J49" s="22"/>
      <c r="K49" s="22"/>
      <c r="L49" s="87"/>
      <c r="R49" s="100"/>
    </row>
    <row r="50" spans="1:18" ht="117.75" customHeight="1" thickBot="1" x14ac:dyDescent="0.3">
      <c r="A50" s="132"/>
      <c r="B50" s="297" t="s">
        <v>161</v>
      </c>
      <c r="C50" s="297"/>
      <c r="D50" s="297"/>
      <c r="E50" s="297"/>
      <c r="F50" s="297"/>
      <c r="G50" s="297"/>
      <c r="H50" s="297"/>
      <c r="I50" s="297"/>
      <c r="J50" s="297"/>
      <c r="K50" s="297"/>
      <c r="L50" s="133"/>
    </row>
    <row r="51" spans="1:18" x14ac:dyDescent="0.25">
      <c r="B51" t="s">
        <v>218</v>
      </c>
      <c r="D51" t="s">
        <v>219</v>
      </c>
      <c r="J51" t="s">
        <v>220</v>
      </c>
      <c r="Q51" s="289" t="s">
        <v>162</v>
      </c>
      <c r="R51" s="131" t="s">
        <v>163</v>
      </c>
    </row>
    <row r="52" spans="1:18" x14ac:dyDescent="0.25">
      <c r="Q52" s="290"/>
      <c r="R52" s="131" t="s">
        <v>152</v>
      </c>
    </row>
    <row r="53" spans="1:18" x14ac:dyDescent="0.25">
      <c r="Q53" s="290"/>
      <c r="R53" s="131" t="s">
        <v>164</v>
      </c>
    </row>
    <row r="54" spans="1:18" x14ac:dyDescent="0.25">
      <c r="Q54" s="290"/>
      <c r="R54" s="131" t="s">
        <v>114</v>
      </c>
    </row>
    <row r="55" spans="1:18" x14ac:dyDescent="0.25">
      <c r="Q55" s="291"/>
      <c r="R55" s="131" t="s">
        <v>165</v>
      </c>
    </row>
    <row r="56" spans="1:18" x14ac:dyDescent="0.25">
      <c r="Q56" s="289" t="s">
        <v>166</v>
      </c>
      <c r="R56" s="131" t="s">
        <v>165</v>
      </c>
    </row>
    <row r="57" spans="1:18" ht="15" customHeight="1" x14ac:dyDescent="0.25">
      <c r="Q57" s="290"/>
      <c r="R57" s="131" t="s">
        <v>167</v>
      </c>
    </row>
    <row r="58" spans="1:18" x14ac:dyDescent="0.25">
      <c r="Q58" s="290"/>
      <c r="R58" s="131" t="s">
        <v>168</v>
      </c>
    </row>
    <row r="59" spans="1:18" x14ac:dyDescent="0.25">
      <c r="Q59" s="290"/>
      <c r="R59" s="131" t="s">
        <v>169</v>
      </c>
    </row>
    <row r="60" spans="1:18" x14ac:dyDescent="0.25">
      <c r="Q60" s="290"/>
      <c r="R60" s="131" t="s">
        <v>108</v>
      </c>
    </row>
    <row r="61" spans="1:18" x14ac:dyDescent="0.25">
      <c r="Q61" s="290"/>
      <c r="R61" s="131" t="s">
        <v>170</v>
      </c>
    </row>
    <row r="62" spans="1:18" x14ac:dyDescent="0.25">
      <c r="Q62" s="290"/>
      <c r="R62" s="131" t="s">
        <v>171</v>
      </c>
    </row>
    <row r="63" spans="1:18" x14ac:dyDescent="0.25">
      <c r="Q63" s="290"/>
      <c r="R63" s="131" t="s">
        <v>172</v>
      </c>
    </row>
    <row r="64" spans="1:18" x14ac:dyDescent="0.25">
      <c r="Q64" s="290"/>
      <c r="R64" s="131" t="s">
        <v>173</v>
      </c>
    </row>
    <row r="65" spans="17:18" x14ac:dyDescent="0.25">
      <c r="Q65" s="291"/>
      <c r="R65" s="134" t="s">
        <v>174</v>
      </c>
    </row>
    <row r="66" spans="17:18" x14ac:dyDescent="0.25">
      <c r="Q66" s="292" t="s">
        <v>175</v>
      </c>
      <c r="R66" s="134" t="s">
        <v>176</v>
      </c>
    </row>
    <row r="67" spans="17:18" x14ac:dyDescent="0.25">
      <c r="Q67" s="292"/>
      <c r="R67" s="135" t="s">
        <v>177</v>
      </c>
    </row>
    <row r="68" spans="17:18" x14ac:dyDescent="0.25">
      <c r="Q68" s="292"/>
      <c r="R68" s="135" t="s">
        <v>178</v>
      </c>
    </row>
    <row r="69" spans="17:18" x14ac:dyDescent="0.25">
      <c r="Q69" s="292"/>
      <c r="R69" s="131" t="s">
        <v>110</v>
      </c>
    </row>
    <row r="70" spans="17:18" x14ac:dyDescent="0.25">
      <c r="Q70" s="292"/>
      <c r="R70" s="131" t="s">
        <v>179</v>
      </c>
    </row>
    <row r="71" spans="17:18" x14ac:dyDescent="0.25">
      <c r="Q71" s="292"/>
      <c r="R71" s="131" t="s">
        <v>180</v>
      </c>
    </row>
    <row r="72" spans="17:18" x14ac:dyDescent="0.25">
      <c r="Q72" s="292"/>
      <c r="R72" s="131" t="s">
        <v>181</v>
      </c>
    </row>
    <row r="73" spans="17:18" x14ac:dyDescent="0.25">
      <c r="Q73" s="292"/>
      <c r="R73" s="131" t="s">
        <v>182</v>
      </c>
    </row>
    <row r="74" spans="17:18" x14ac:dyDescent="0.25">
      <c r="Q74" s="292"/>
      <c r="R74" s="131" t="s">
        <v>183</v>
      </c>
    </row>
    <row r="75" spans="17:18" x14ac:dyDescent="0.25">
      <c r="Q75" s="292"/>
      <c r="R75" s="131" t="s">
        <v>184</v>
      </c>
    </row>
    <row r="76" spans="17:18" x14ac:dyDescent="0.25">
      <c r="R76" s="136" t="s">
        <v>165</v>
      </c>
    </row>
  </sheetData>
  <mergeCells count="90">
    <mergeCell ref="R2:AA2"/>
    <mergeCell ref="B9:C9"/>
    <mergeCell ref="D9:E9"/>
    <mergeCell ref="G9:H9"/>
    <mergeCell ref="I9:K9"/>
    <mergeCell ref="E2:K5"/>
    <mergeCell ref="I20:K20"/>
    <mergeCell ref="B20:C20"/>
    <mergeCell ref="D20:E20"/>
    <mergeCell ref="B2:D5"/>
    <mergeCell ref="B7:K7"/>
    <mergeCell ref="B17:C17"/>
    <mergeCell ref="D17:E17"/>
    <mergeCell ref="G17:H17"/>
    <mergeCell ref="I17:K17"/>
    <mergeCell ref="B10:C10"/>
    <mergeCell ref="D10:E10"/>
    <mergeCell ref="G10:H10"/>
    <mergeCell ref="I10:K10"/>
    <mergeCell ref="B11:C11"/>
    <mergeCell ref="D11:E11"/>
    <mergeCell ref="G11:H11"/>
    <mergeCell ref="I11:K11"/>
    <mergeCell ref="B12:C12"/>
    <mergeCell ref="D12:E12"/>
    <mergeCell ref="G12:H12"/>
    <mergeCell ref="I12:K12"/>
    <mergeCell ref="B15:K15"/>
    <mergeCell ref="B18:C18"/>
    <mergeCell ref="D18:E18"/>
    <mergeCell ref="G18:H18"/>
    <mergeCell ref="I18:K18"/>
    <mergeCell ref="B19:C19"/>
    <mergeCell ref="D19:E19"/>
    <mergeCell ref="G19:H19"/>
    <mergeCell ref="I19:K19"/>
    <mergeCell ref="B27:D27"/>
    <mergeCell ref="I27:J27"/>
    <mergeCell ref="B21:C21"/>
    <mergeCell ref="D21:E21"/>
    <mergeCell ref="G21:H21"/>
    <mergeCell ref="I21:K21"/>
    <mergeCell ref="B24:K24"/>
    <mergeCell ref="B25:D25"/>
    <mergeCell ref="I25:J25"/>
    <mergeCell ref="B26:D26"/>
    <mergeCell ref="I26:J26"/>
    <mergeCell ref="G20:H20"/>
    <mergeCell ref="B28:D28"/>
    <mergeCell ref="I28:J28"/>
    <mergeCell ref="B29:D29"/>
    <mergeCell ref="I29:J29"/>
    <mergeCell ref="B30:D30"/>
    <mergeCell ref="I30:J30"/>
    <mergeCell ref="B31:D31"/>
    <mergeCell ref="I31:J31"/>
    <mergeCell ref="B32:D32"/>
    <mergeCell ref="I32:J32"/>
    <mergeCell ref="B33:D33"/>
    <mergeCell ref="I33:J33"/>
    <mergeCell ref="B34:D34"/>
    <mergeCell ref="I34:J34"/>
    <mergeCell ref="B35:D35"/>
    <mergeCell ref="I35:J35"/>
    <mergeCell ref="B36:D36"/>
    <mergeCell ref="I36:J36"/>
    <mergeCell ref="B47:C47"/>
    <mergeCell ref="D47:F47"/>
    <mergeCell ref="G47:H47"/>
    <mergeCell ref="I47:K47"/>
    <mergeCell ref="B37:D37"/>
    <mergeCell ref="I37:J37"/>
    <mergeCell ref="B38:D38"/>
    <mergeCell ref="B39:D39"/>
    <mergeCell ref="B41:D43"/>
    <mergeCell ref="E41:K43"/>
    <mergeCell ref="B44:D44"/>
    <mergeCell ref="E44:H44"/>
    <mergeCell ref="I44:J44"/>
    <mergeCell ref="B45:D45"/>
    <mergeCell ref="E45:K45"/>
    <mergeCell ref="Q51:Q55"/>
    <mergeCell ref="Q56:Q65"/>
    <mergeCell ref="Q66:Q75"/>
    <mergeCell ref="B48:C48"/>
    <mergeCell ref="D48:F48"/>
    <mergeCell ref="G48:H48"/>
    <mergeCell ref="I48:K48"/>
    <mergeCell ref="B49:C49"/>
    <mergeCell ref="B50:K50"/>
  </mergeCells>
  <dataValidations count="11">
    <dataValidation type="list" allowBlank="1" showInputMessage="1" showErrorMessage="1" sqref="D47:F47" xr:uid="{00000000-0002-0000-0300-000000000000}">
      <formula1>"Jaime A. Hernandez G.,Diana P. Delgado G.,Willy Corzo,Jorge Santander,Jose Gil,Daniel Bastidas"</formula1>
    </dataValidation>
    <dataValidation type="list" allowBlank="1" showInputMessage="1" showErrorMessage="1" sqref="D48:F48" xr:uid="{00000000-0002-0000-0300-000001000000}">
      <formula1>"INSPECTOR DE HIDROCARBUROS, INSPECTOR DE COMBUSTIBLES"</formula1>
    </dataValidation>
    <dataValidation type="list" allowBlank="1" showInputMessage="1" showErrorMessage="1" sqref="I17:K17" xr:uid="{00000000-0002-0000-0300-000002000000}">
      <formula1>$R$56:$R$65</formula1>
    </dataValidation>
    <dataValidation type="list" allowBlank="1" showInputMessage="1" showErrorMessage="1" sqref="I18:K18" xr:uid="{00000000-0002-0000-0300-000003000000}">
      <formula1>"CLIENTE, OIL TEST INTERNACIONAL, OTROS"</formula1>
    </dataValidation>
    <dataValidation type="list" allowBlank="1" showInputMessage="1" showErrorMessage="1" sqref="D21:E21" xr:uid="{00000000-0002-0000-0300-000004000000}">
      <formula1>"CRUDO, FUEL OIL, DESTILADO RESIDUAL, ACPM, GASOLINA"</formula1>
    </dataValidation>
    <dataValidation type="list" allowBlank="1" showInputMessage="1" showErrorMessage="1" sqref="D19:E19" xr:uid="{00000000-0002-0000-0300-000005000000}">
      <formula1>$R$51:$R$55</formula1>
    </dataValidation>
    <dataValidation type="list" allowBlank="1" showInputMessage="1" showErrorMessage="1" sqref="D18:E18" xr:uid="{00000000-0002-0000-0300-000006000000}">
      <formula1>$R$66:$R$76</formula1>
    </dataValidation>
    <dataValidation type="list" allowBlank="1" showInputMessage="1" showErrorMessage="1" sqref="E45:K45" xr:uid="{00000000-0002-0000-0300-000007000000}">
      <formula1>"La muestra cumple con los requisitos mínimos para los análisis solicitados, La muestra no cumple con los requisitos mínimos para los análisis solicitados"</formula1>
    </dataValidation>
    <dataValidation type="list" allowBlank="1" showInputMessage="1" showErrorMessage="1" sqref="I12:K12" xr:uid="{00000000-0002-0000-0300-000008000000}">
      <formula1>"CRUDOS CPF1, CRUDOS CPF2, AGUAS CPF1, AGUAS CPF2"</formula1>
    </dataValidation>
    <dataValidation type="list" allowBlank="1" showInputMessage="1" showErrorMessage="1" sqref="K26:K27 K29:K40" xr:uid="{00000000-0002-0000-0300-000009000000}">
      <formula1>"No conforme,Conforme"</formula1>
    </dataValidation>
    <dataValidation type="list" allowBlank="1" showInputMessage="1" showErrorMessage="1" sqref="A33:A39" xr:uid="{00000000-0002-0000-0300-00000A000000}">
      <formula1>$P$74:$P$76</formula1>
    </dataValidation>
  </dataValidations>
  <pageMargins left="0.39370078740157483" right="0.39370078740157483" top="0.35433070866141736" bottom="0.35433070866141736" header="0.31496062992125984" footer="0.31496062992125984"/>
  <pageSetup scale="8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S52"/>
  <sheetViews>
    <sheetView workbookViewId="0">
      <selection activeCell="D21" sqref="D21"/>
    </sheetView>
  </sheetViews>
  <sheetFormatPr baseColWidth="10" defaultRowHeight="15" x14ac:dyDescent="0.25"/>
  <cols>
    <col min="1" max="2" width="10.28515625" customWidth="1"/>
    <col min="3" max="3" width="12.140625" customWidth="1"/>
    <col min="4" max="4" width="17.140625" customWidth="1"/>
    <col min="5" max="5" width="7.140625" customWidth="1"/>
    <col min="6" max="6" width="9.5703125" customWidth="1"/>
    <col min="7" max="7" width="12.7109375" customWidth="1"/>
    <col min="8" max="8" width="9.140625" customWidth="1"/>
    <col min="9" max="9" width="10" customWidth="1"/>
    <col min="10" max="10" width="6.42578125" customWidth="1"/>
  </cols>
  <sheetData>
    <row r="1" spans="1:19" ht="11.25" customHeight="1" x14ac:dyDescent="0.25">
      <c r="A1" s="383"/>
      <c r="B1" s="384"/>
      <c r="C1" s="275" t="s">
        <v>0</v>
      </c>
      <c r="D1" s="275"/>
      <c r="E1" s="275"/>
      <c r="F1" s="275"/>
      <c r="G1" s="275"/>
      <c r="H1" s="275"/>
      <c r="I1" s="276"/>
      <c r="J1" s="1"/>
      <c r="Q1" s="22"/>
      <c r="R1" s="22"/>
      <c r="S1" s="22"/>
    </row>
    <row r="2" spans="1:19" ht="11.25" customHeight="1" x14ac:dyDescent="0.25">
      <c r="A2" s="365"/>
      <c r="B2" s="363"/>
      <c r="C2" s="277"/>
      <c r="D2" s="277"/>
      <c r="E2" s="277"/>
      <c r="F2" s="277"/>
      <c r="G2" s="277"/>
      <c r="H2" s="277"/>
      <c r="I2" s="278"/>
      <c r="J2" s="1"/>
      <c r="Q2" s="22"/>
      <c r="R2" s="78"/>
      <c r="S2" s="22"/>
    </row>
    <row r="3" spans="1:19" ht="11.25" customHeight="1" x14ac:dyDescent="0.25">
      <c r="A3" s="365"/>
      <c r="B3" s="363"/>
      <c r="C3" s="277" t="s">
        <v>74</v>
      </c>
      <c r="D3" s="277"/>
      <c r="E3" s="387" t="s">
        <v>25</v>
      </c>
      <c r="F3" s="387"/>
      <c r="G3" s="388">
        <v>42810</v>
      </c>
      <c r="H3" s="277" t="str">
        <f>ANALITO!H3</f>
        <v>VERSIÓN 0,71</v>
      </c>
      <c r="I3" s="278"/>
      <c r="J3" s="1"/>
      <c r="Q3" s="22"/>
      <c r="R3" s="22"/>
      <c r="S3" s="22"/>
    </row>
    <row r="4" spans="1:19" ht="12" customHeight="1" x14ac:dyDescent="0.25">
      <c r="A4" s="365"/>
      <c r="B4" s="363"/>
      <c r="C4" s="277"/>
      <c r="D4" s="277"/>
      <c r="E4" s="387"/>
      <c r="F4" s="387"/>
      <c r="G4" s="388"/>
      <c r="H4" s="277"/>
      <c r="I4" s="278"/>
      <c r="J4" s="1"/>
    </row>
    <row r="5" spans="1:19" ht="16.5" customHeight="1" thickBot="1" x14ac:dyDescent="0.3">
      <c r="A5" s="385"/>
      <c r="B5" s="386"/>
      <c r="C5" s="77" t="s">
        <v>26</v>
      </c>
      <c r="D5" s="389" t="s">
        <v>89</v>
      </c>
      <c r="E5" s="389"/>
      <c r="F5" s="2" t="s">
        <v>27</v>
      </c>
      <c r="G5" s="389" t="s">
        <v>28</v>
      </c>
      <c r="H5" s="389"/>
      <c r="I5" s="390"/>
      <c r="J5" s="1"/>
    </row>
    <row r="6" spans="1:19" ht="15" customHeight="1" x14ac:dyDescent="0.25">
      <c r="A6" s="374" t="s">
        <v>29</v>
      </c>
      <c r="B6" s="375"/>
      <c r="C6" s="375"/>
      <c r="D6" s="375"/>
      <c r="E6" s="375"/>
      <c r="F6" s="375"/>
      <c r="G6" s="375"/>
      <c r="H6" s="375"/>
      <c r="I6" s="376"/>
      <c r="J6" s="1"/>
    </row>
    <row r="7" spans="1:19" ht="19.5" customHeight="1" x14ac:dyDescent="0.25">
      <c r="A7" s="3" t="s">
        <v>30</v>
      </c>
      <c r="B7" s="4" t="str">
        <f>IFERROR(VLOOKUP(D7,'Base de Datos'!A1:X11616,2,FALSE),"")</f>
        <v/>
      </c>
      <c r="C7" s="5" t="s">
        <v>31</v>
      </c>
      <c r="D7" s="79">
        <v>2165</v>
      </c>
      <c r="E7" s="286" t="s">
        <v>32</v>
      </c>
      <c r="F7" s="286"/>
      <c r="G7" s="265" t="str">
        <f>IFERROR(VLOOKUP(D7,'Base de Datos'!A1:X11616,3,FALSE),"")</f>
        <v/>
      </c>
      <c r="H7" s="265"/>
      <c r="I7" s="377"/>
      <c r="J7" s="6"/>
    </row>
    <row r="8" spans="1:19" ht="19.5" customHeight="1" x14ac:dyDescent="0.25">
      <c r="A8" s="3" t="s">
        <v>33</v>
      </c>
      <c r="B8" s="76" t="str">
        <f>IFERROR(VLOOKUP(D7,'Base de Datos'!A1:X11616,4,FALSE),"")</f>
        <v/>
      </c>
      <c r="C8" s="5" t="s">
        <v>34</v>
      </c>
      <c r="D8" s="76" t="str">
        <f>IFERROR(VLOOKUP(D7,'Base de Datos'!A1:X11616,5,FALSE),"")</f>
        <v/>
      </c>
      <c r="E8" s="265" t="s">
        <v>35</v>
      </c>
      <c r="F8" s="265"/>
      <c r="G8" s="378" t="str">
        <f>IFERROR(VLOOKUP(D7,'Base de Datos'!A1:X11616,6,FALSE),"")</f>
        <v/>
      </c>
      <c r="H8" s="378"/>
      <c r="I8" s="379"/>
      <c r="J8" s="6"/>
    </row>
    <row r="9" spans="1:19" ht="19.5" customHeight="1" x14ac:dyDescent="0.25">
      <c r="A9" s="380" t="s">
        <v>36</v>
      </c>
      <c r="B9" s="265"/>
      <c r="C9" s="7" t="s">
        <v>37</v>
      </c>
      <c r="D9" s="265" t="s">
        <v>38</v>
      </c>
      <c r="E9" s="265"/>
      <c r="F9" s="7" t="str">
        <f>IFERROR(VLOOKUP(D7,'Base de Datos'!A1:X11616,7,FALSE),"")</f>
        <v/>
      </c>
      <c r="G9" s="286" t="s">
        <v>39</v>
      </c>
      <c r="H9" s="286"/>
      <c r="I9" s="8" t="str">
        <f>IFERROR(VLOOKUP(D7,'Base de Datos'!A1:X11616,8,FALSE),"")</f>
        <v/>
      </c>
      <c r="J9" s="9"/>
    </row>
    <row r="10" spans="1:19" ht="19.5" customHeight="1" x14ac:dyDescent="0.25">
      <c r="A10" s="10" t="s">
        <v>40</v>
      </c>
      <c r="B10" s="381" t="str">
        <f>IFERROR(VLOOKUP(D7,'Base de Datos'!A1:X11616,9,FALSE),"")</f>
        <v/>
      </c>
      <c r="C10" s="11" t="s">
        <v>41</v>
      </c>
      <c r="D10" s="193" t="str">
        <f>IFERROR(VLOOKUP(D7,'Base de Datos'!A1:X11579,10,FALSE),"")</f>
        <v/>
      </c>
      <c r="E10" s="11" t="s">
        <v>40</v>
      </c>
      <c r="F10" s="381" t="str">
        <f>IFERROR(VLOOKUP(D7,'Base de Datos'!A1:X11616,12,FALSE),"")</f>
        <v/>
      </c>
      <c r="G10" s="11" t="s">
        <v>42</v>
      </c>
      <c r="H10" s="372" t="str">
        <f>IFERROR(VLOOKUP(D7,'Base de Datos'!A1:X11616,13,FALSE),"")</f>
        <v/>
      </c>
      <c r="I10" s="382"/>
      <c r="J10" s="12"/>
    </row>
    <row r="11" spans="1:19" ht="19.5" customHeight="1" x14ac:dyDescent="0.25">
      <c r="A11" s="13" t="s">
        <v>43</v>
      </c>
      <c r="B11" s="381"/>
      <c r="C11" s="14" t="s">
        <v>44</v>
      </c>
      <c r="D11" s="193" t="str">
        <f>IFERROR(VLOOKUP(D7,'Base de Datos'!A1:X11579,11,FALSE),"")</f>
        <v/>
      </c>
      <c r="E11" s="14" t="s">
        <v>45</v>
      </c>
      <c r="F11" s="381"/>
      <c r="G11" s="14" t="s">
        <v>46</v>
      </c>
      <c r="H11" s="372"/>
      <c r="I11" s="382"/>
      <c r="J11" s="12"/>
    </row>
    <row r="12" spans="1:19" ht="19.5" customHeight="1" x14ac:dyDescent="0.25">
      <c r="A12" s="365" t="s">
        <v>47</v>
      </c>
      <c r="B12" s="363"/>
      <c r="C12" s="7" t="s">
        <v>48</v>
      </c>
      <c r="D12" s="7" t="s">
        <v>49</v>
      </c>
      <c r="E12" s="269" t="s">
        <v>90</v>
      </c>
      <c r="F12" s="270"/>
      <c r="G12" s="11" t="s">
        <v>50</v>
      </c>
      <c r="H12" s="15" t="str">
        <f>IFERROR(VLOOKUP(D7,'Base de Datos'!A1:X11616,19,FALSE),"")</f>
        <v/>
      </c>
      <c r="I12" s="74" t="s">
        <v>22</v>
      </c>
      <c r="J12" s="12"/>
    </row>
    <row r="13" spans="1:19" ht="19.5" customHeight="1" x14ac:dyDescent="0.25">
      <c r="A13" s="10" t="s">
        <v>51</v>
      </c>
      <c r="B13" s="75" t="str">
        <f>IFERROR(VLOOKUP(D7,'Base de Datos'!A1:X11616,14,FALSE),"")</f>
        <v/>
      </c>
      <c r="C13" s="11" t="s">
        <v>52</v>
      </c>
      <c r="D13" s="16" t="str">
        <f>IFERROR(VLOOKUP(D7,'Base de Datos'!A1:X11616,16,FALSE),"")</f>
        <v/>
      </c>
      <c r="E13" s="17" t="s">
        <v>53</v>
      </c>
      <c r="F13" s="371" t="str">
        <f>IFERROR(VLOOKUP(D7,'Base de Datos'!A1:X11616,18,FALSE),"")</f>
        <v/>
      </c>
      <c r="G13" s="14" t="s">
        <v>54</v>
      </c>
      <c r="H13" s="15" t="b">
        <f>Busqueda!D22=IF(D14="","",ROUND((D14*F13)/(B14*10),3))</f>
        <v>1</v>
      </c>
      <c r="I13" s="373" t="str">
        <f>IFERROR(VLOOKUP(D7,'Base de Datos'!A1:X11616,22,FALSE),"")</f>
        <v/>
      </c>
      <c r="J13" s="12"/>
    </row>
    <row r="14" spans="1:19" ht="19.5" customHeight="1" x14ac:dyDescent="0.25">
      <c r="A14" s="13" t="s">
        <v>55</v>
      </c>
      <c r="B14" s="75" t="str">
        <f>IFERROR(VLOOKUP(D7,'Base de Datos'!A1:X11616,15,FALSE),"")</f>
        <v/>
      </c>
      <c r="C14" s="14" t="s">
        <v>56</v>
      </c>
      <c r="D14" s="16" t="str">
        <f>IFERROR(VLOOKUP(D7,'Base de Datos'!A1:X11616,17,FALSE),"")</f>
        <v/>
      </c>
      <c r="E14" s="18" t="s">
        <v>57</v>
      </c>
      <c r="F14" s="372"/>
      <c r="G14" s="73" t="s">
        <v>58</v>
      </c>
      <c r="H14" s="15" t="str">
        <f>IFERROR(VLOOKUP(D7,'Base de Datos'!A1:X11616,21,FALSE),"")</f>
        <v/>
      </c>
      <c r="I14" s="373"/>
      <c r="J14" s="12"/>
    </row>
    <row r="15" spans="1:19" ht="19.5" customHeight="1" x14ac:dyDescent="0.25">
      <c r="A15" s="369" t="s">
        <v>59</v>
      </c>
      <c r="B15" s="370"/>
      <c r="C15" s="370"/>
      <c r="D15" s="370"/>
      <c r="E15" s="370"/>
      <c r="F15" s="270"/>
      <c r="G15" s="363" t="str">
        <f>IFERROR(VLOOKUP(D7,'Base de Datos'!A1:X11616,24,FALSE),"")</f>
        <v/>
      </c>
      <c r="H15" s="363"/>
      <c r="I15" s="364"/>
      <c r="J15" s="12"/>
    </row>
    <row r="16" spans="1:19" ht="19.5" customHeight="1" x14ac:dyDescent="0.25">
      <c r="A16" s="365" t="str">
        <f>IFERROR(VLOOKUP(D7,'Base de Datos'!A1:X11616,23,FALSE),"")</f>
        <v/>
      </c>
      <c r="B16" s="363"/>
      <c r="C16" s="363"/>
      <c r="D16" s="363"/>
      <c r="E16" s="363"/>
      <c r="F16" s="363"/>
      <c r="G16" s="363" t="s">
        <v>60</v>
      </c>
      <c r="H16" s="363"/>
      <c r="I16" s="364"/>
      <c r="J16" s="12"/>
    </row>
    <row r="17" spans="1:10" ht="9.75" customHeight="1" x14ac:dyDescent="0.25">
      <c r="A17" s="366" t="s">
        <v>29</v>
      </c>
      <c r="B17" s="367"/>
      <c r="C17" s="367"/>
      <c r="D17" s="367"/>
      <c r="E17" s="367"/>
      <c r="F17" s="367"/>
      <c r="G17" s="367"/>
      <c r="H17" s="367"/>
      <c r="I17" s="368"/>
      <c r="J17" s="12"/>
    </row>
    <row r="18" spans="1:10" x14ac:dyDescent="0.25">
      <c r="A18" s="19"/>
      <c r="B18" s="9"/>
      <c r="C18" s="19"/>
      <c r="D18" s="20"/>
      <c r="E18" s="9"/>
      <c r="F18" s="9"/>
      <c r="G18" s="9"/>
      <c r="H18" s="9"/>
      <c r="I18" s="9"/>
      <c r="J18" s="12"/>
    </row>
    <row r="19" spans="1:10" x14ac:dyDescent="0.25">
      <c r="A19" s="19"/>
      <c r="B19" s="19"/>
      <c r="C19" s="19"/>
      <c r="D19" s="19"/>
      <c r="E19" s="21"/>
      <c r="F19" s="21"/>
      <c r="G19" s="21"/>
      <c r="H19" s="21"/>
      <c r="I19" s="21"/>
      <c r="J19" s="12"/>
    </row>
    <row r="20" spans="1:10" x14ac:dyDescent="0.25">
      <c r="A20" s="21"/>
      <c r="B20" s="21"/>
      <c r="C20" s="22"/>
      <c r="D20" s="21"/>
      <c r="E20" s="21"/>
      <c r="F20" s="22"/>
      <c r="G20" s="9"/>
      <c r="H20" s="9"/>
      <c r="I20" s="9"/>
      <c r="J20" s="12"/>
    </row>
    <row r="21" spans="1:10" x14ac:dyDescent="0.25">
      <c r="A21" s="12"/>
      <c r="B21" s="72"/>
      <c r="C21" s="12"/>
      <c r="D21" s="12" t="str">
        <f>IF(D13="","",ROUND((D13*F13)/(B13*10),3))</f>
        <v/>
      </c>
      <c r="E21" s="12"/>
      <c r="F21" s="72"/>
      <c r="G21" s="12"/>
      <c r="H21" s="72"/>
      <c r="I21" s="72"/>
      <c r="J21" s="12"/>
    </row>
    <row r="22" spans="1:10" x14ac:dyDescent="0.25">
      <c r="A22" s="12"/>
      <c r="B22" s="72"/>
      <c r="C22" s="12"/>
      <c r="D22" s="12"/>
      <c r="E22" s="12"/>
      <c r="F22" s="72"/>
      <c r="G22" s="12"/>
      <c r="H22" s="72"/>
      <c r="I22" s="72"/>
      <c r="J22" s="12"/>
    </row>
    <row r="23" spans="1:10" x14ac:dyDescent="0.25">
      <c r="A23" s="72"/>
      <c r="B23" s="72"/>
      <c r="C23" s="22"/>
      <c r="D23" s="22"/>
      <c r="E23" s="72"/>
      <c r="F23" s="72"/>
      <c r="G23" s="12"/>
      <c r="H23" s="22"/>
      <c r="I23" s="72"/>
      <c r="J23" s="12"/>
    </row>
    <row r="24" spans="1:10" x14ac:dyDescent="0.25">
      <c r="A24" s="12"/>
      <c r="B24" s="72"/>
      <c r="C24" s="12"/>
      <c r="D24" s="22"/>
      <c r="E24" s="22"/>
      <c r="F24" s="72"/>
      <c r="G24" s="12"/>
      <c r="H24" s="72"/>
      <c r="I24" s="72"/>
      <c r="J24" s="12"/>
    </row>
    <row r="25" spans="1:10" x14ac:dyDescent="0.25">
      <c r="A25" s="12"/>
      <c r="B25" s="72"/>
      <c r="C25" s="12"/>
      <c r="D25" s="22"/>
      <c r="E25" s="23"/>
      <c r="F25" s="72"/>
      <c r="G25" s="72"/>
      <c r="H25" s="72"/>
      <c r="I25" s="72"/>
      <c r="J25" s="12"/>
    </row>
    <row r="26" spans="1:10" ht="15" customHeight="1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12"/>
    </row>
    <row r="27" spans="1:10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12"/>
    </row>
    <row r="28" spans="1:10" ht="9.75" customHeight="1" x14ac:dyDescent="0.25">
      <c r="A28" s="24"/>
      <c r="B28" s="72"/>
      <c r="C28" s="72"/>
      <c r="D28" s="72"/>
      <c r="E28" s="72"/>
      <c r="F28" s="72"/>
      <c r="G28" s="72"/>
      <c r="H28" s="72"/>
      <c r="I28" s="72"/>
      <c r="J28" s="12"/>
    </row>
    <row r="29" spans="1:10" x14ac:dyDescent="0.25">
      <c r="A29" s="19"/>
      <c r="B29" s="9"/>
      <c r="C29" s="19"/>
      <c r="D29" s="20"/>
      <c r="E29" s="9"/>
      <c r="F29" s="9"/>
      <c r="G29" s="9"/>
      <c r="H29" s="9"/>
      <c r="I29" s="9"/>
      <c r="J29" s="12"/>
    </row>
    <row r="30" spans="1:10" x14ac:dyDescent="0.25">
      <c r="A30" s="19"/>
      <c r="B30" s="19"/>
      <c r="C30" s="19"/>
      <c r="D30" s="19"/>
      <c r="E30" s="21"/>
      <c r="F30" s="21"/>
      <c r="G30" s="21"/>
      <c r="H30" s="21"/>
      <c r="I30" s="21"/>
      <c r="J30" s="12"/>
    </row>
    <row r="31" spans="1:10" x14ac:dyDescent="0.25">
      <c r="A31" s="21"/>
      <c r="B31" s="21"/>
      <c r="C31" s="22"/>
      <c r="D31" s="21"/>
      <c r="E31" s="21"/>
      <c r="F31" s="22"/>
      <c r="G31" s="9"/>
      <c r="H31" s="9"/>
      <c r="I31" s="9"/>
      <c r="J31" s="12"/>
    </row>
    <row r="32" spans="1:10" x14ac:dyDescent="0.25">
      <c r="A32" s="12"/>
      <c r="B32" s="72"/>
      <c r="C32" s="12"/>
      <c r="D32" s="12"/>
      <c r="E32" s="12"/>
      <c r="F32" s="72"/>
      <c r="G32" s="12"/>
      <c r="H32" s="72"/>
      <c r="I32" s="72"/>
      <c r="J32" s="12"/>
    </row>
    <row r="33" spans="1:12" x14ac:dyDescent="0.25">
      <c r="A33" s="12"/>
      <c r="B33" s="72"/>
      <c r="C33" s="12"/>
      <c r="D33" s="12"/>
      <c r="E33" s="12"/>
      <c r="F33" s="72"/>
      <c r="G33" s="12"/>
      <c r="H33" s="72"/>
      <c r="I33" s="72"/>
      <c r="J33" s="12"/>
    </row>
    <row r="34" spans="1:12" x14ac:dyDescent="0.25">
      <c r="A34" s="72"/>
      <c r="B34" s="72"/>
      <c r="C34" s="22"/>
      <c r="D34" s="22"/>
      <c r="E34" s="72"/>
      <c r="F34" s="72"/>
      <c r="G34" s="12"/>
      <c r="H34" s="22"/>
      <c r="I34" s="72"/>
      <c r="J34" s="12"/>
    </row>
    <row r="35" spans="1:12" ht="15" customHeight="1" x14ac:dyDescent="0.25">
      <c r="A35" s="12"/>
      <c r="B35" s="72"/>
      <c r="C35" s="12"/>
      <c r="D35" s="22"/>
      <c r="E35" s="22"/>
      <c r="F35" s="72"/>
      <c r="G35" s="12"/>
      <c r="H35" s="72"/>
      <c r="I35" s="72"/>
      <c r="J35" s="12"/>
    </row>
    <row r="36" spans="1:12" x14ac:dyDescent="0.25">
      <c r="A36" s="12"/>
      <c r="B36" s="72"/>
      <c r="C36" s="12"/>
      <c r="D36" s="22"/>
      <c r="E36" s="23"/>
      <c r="F36" s="72"/>
      <c r="G36" s="72"/>
      <c r="H36" s="72"/>
      <c r="I36" s="72"/>
      <c r="J36" s="12"/>
    </row>
    <row r="37" spans="1:12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12"/>
    </row>
    <row r="38" spans="1:12" x14ac:dyDescent="0.25">
      <c r="A38" s="72"/>
      <c r="B38" s="72"/>
      <c r="C38" s="72"/>
      <c r="D38" s="72"/>
      <c r="E38" s="72"/>
      <c r="F38" s="72"/>
      <c r="G38" s="72"/>
      <c r="H38" s="72"/>
      <c r="I38" s="72"/>
    </row>
    <row r="39" spans="1:12" ht="9.75" customHeight="1" x14ac:dyDescent="0.25">
      <c r="A39" s="24"/>
      <c r="B39" s="72"/>
      <c r="C39" s="72"/>
      <c r="D39" s="72"/>
      <c r="E39" s="72"/>
      <c r="F39" s="72"/>
      <c r="G39" s="72"/>
      <c r="H39" s="72"/>
      <c r="I39" s="72"/>
    </row>
    <row r="40" spans="1:12" x14ac:dyDescent="0.25">
      <c r="A40" s="19"/>
      <c r="B40" s="9"/>
      <c r="C40" s="19"/>
      <c r="D40" s="20"/>
      <c r="E40" s="9"/>
      <c r="F40" s="9"/>
      <c r="G40" s="9"/>
      <c r="H40" s="9"/>
      <c r="I40" s="9"/>
      <c r="L40" s="22"/>
    </row>
    <row r="41" spans="1:12" x14ac:dyDescent="0.25">
      <c r="A41" s="19"/>
      <c r="B41" s="19"/>
      <c r="C41" s="19"/>
      <c r="D41" s="19"/>
      <c r="E41" s="21"/>
      <c r="F41" s="21"/>
      <c r="G41" s="21"/>
      <c r="H41" s="21"/>
      <c r="I41" s="21"/>
    </row>
    <row r="42" spans="1:12" x14ac:dyDescent="0.25">
      <c r="A42" s="21"/>
      <c r="B42" s="21"/>
      <c r="C42" s="22"/>
      <c r="D42" s="21"/>
      <c r="E42" s="21"/>
      <c r="F42" s="22"/>
      <c r="G42" s="9"/>
      <c r="H42" s="9"/>
      <c r="I42" s="9"/>
    </row>
    <row r="43" spans="1:12" x14ac:dyDescent="0.25">
      <c r="A43" s="12"/>
      <c r="B43" s="72"/>
      <c r="C43" s="12"/>
      <c r="D43" s="12"/>
      <c r="E43" s="12"/>
      <c r="F43" s="72"/>
      <c r="G43" s="12"/>
      <c r="H43" s="72"/>
      <c r="I43" s="72"/>
    </row>
    <row r="44" spans="1:12" ht="15" customHeight="1" x14ac:dyDescent="0.25">
      <c r="A44" s="12"/>
      <c r="B44" s="72"/>
      <c r="C44" s="12"/>
      <c r="D44" s="12"/>
      <c r="E44" s="12"/>
      <c r="F44" s="72"/>
      <c r="G44" s="12"/>
      <c r="H44" s="72"/>
      <c r="I44" s="72"/>
    </row>
    <row r="45" spans="1:12" x14ac:dyDescent="0.25">
      <c r="A45" s="72"/>
      <c r="B45" s="72"/>
      <c r="C45" s="22"/>
      <c r="D45" s="22"/>
      <c r="E45" s="72"/>
      <c r="F45" s="72"/>
      <c r="G45" s="12"/>
      <c r="H45" s="22"/>
      <c r="I45" s="72"/>
    </row>
    <row r="46" spans="1:12" x14ac:dyDescent="0.25">
      <c r="A46" s="12"/>
      <c r="B46" s="72"/>
      <c r="C46" s="12"/>
      <c r="D46" s="22"/>
      <c r="E46" s="22"/>
      <c r="F46" s="72"/>
      <c r="G46" s="12"/>
      <c r="H46" s="72"/>
      <c r="I46" s="72"/>
    </row>
    <row r="47" spans="1:12" x14ac:dyDescent="0.25">
      <c r="A47" s="12"/>
      <c r="B47" s="72"/>
      <c r="C47" s="12"/>
      <c r="D47" s="22"/>
      <c r="E47" s="23"/>
      <c r="F47" s="72"/>
      <c r="G47" s="72"/>
      <c r="H47" s="72"/>
      <c r="I47" s="72"/>
    </row>
    <row r="48" spans="1:12" x14ac:dyDescent="0.25">
      <c r="A48" s="72"/>
      <c r="B48" s="72"/>
      <c r="C48" s="72"/>
      <c r="D48" s="72"/>
      <c r="E48" s="72"/>
      <c r="F48" s="72"/>
      <c r="G48" s="72"/>
      <c r="H48" s="72"/>
      <c r="I48" s="72"/>
    </row>
    <row r="49" spans="1:9" x14ac:dyDescent="0.25">
      <c r="A49" s="72"/>
      <c r="B49" s="72"/>
      <c r="C49" s="72"/>
      <c r="D49" s="72"/>
      <c r="E49" s="72"/>
      <c r="F49" s="72"/>
      <c r="G49" s="72"/>
      <c r="H49" s="72"/>
      <c r="I49" s="72"/>
    </row>
    <row r="50" spans="1:9" x14ac:dyDescent="0.25">
      <c r="A50" s="296"/>
      <c r="B50" s="296"/>
      <c r="C50" s="22"/>
      <c r="D50" s="22"/>
      <c r="E50" s="72"/>
      <c r="F50" s="72"/>
      <c r="G50" s="12"/>
      <c r="H50" s="22"/>
      <c r="I50" s="72"/>
    </row>
    <row r="51" spans="1:9" x14ac:dyDescent="0.25">
      <c r="A51" s="12"/>
      <c r="B51" s="72"/>
      <c r="C51" s="12"/>
      <c r="D51" s="22"/>
      <c r="E51" s="22"/>
      <c r="F51" s="296"/>
      <c r="G51" s="12"/>
      <c r="H51" s="72"/>
      <c r="I51" s="296"/>
    </row>
    <row r="52" spans="1:9" x14ac:dyDescent="0.25">
      <c r="A52" s="12"/>
      <c r="B52" s="72"/>
      <c r="C52" s="12"/>
      <c r="D52" s="22"/>
      <c r="E52" s="23"/>
      <c r="F52" s="296"/>
      <c r="G52" s="72"/>
      <c r="H52" s="72"/>
      <c r="I52" s="296"/>
    </row>
  </sheetData>
  <mergeCells count="31">
    <mergeCell ref="A1:B5"/>
    <mergeCell ref="C1:I2"/>
    <mergeCell ref="C3:D4"/>
    <mergeCell ref="E3:F4"/>
    <mergeCell ref="G3:G4"/>
    <mergeCell ref="H3:I4"/>
    <mergeCell ref="D5:E5"/>
    <mergeCell ref="G5:I5"/>
    <mergeCell ref="F13:F14"/>
    <mergeCell ref="I13:I14"/>
    <mergeCell ref="A6:I6"/>
    <mergeCell ref="E7:F7"/>
    <mergeCell ref="G7:I7"/>
    <mergeCell ref="E8:F8"/>
    <mergeCell ref="G8:I8"/>
    <mergeCell ref="A9:B9"/>
    <mergeCell ref="D9:E9"/>
    <mergeCell ref="G9:H9"/>
    <mergeCell ref="B10:B11"/>
    <mergeCell ref="F10:F11"/>
    <mergeCell ref="H10:I11"/>
    <mergeCell ref="A12:B12"/>
    <mergeCell ref="E12:F12"/>
    <mergeCell ref="A50:B50"/>
    <mergeCell ref="F51:F52"/>
    <mergeCell ref="I51:I52"/>
    <mergeCell ref="G15:I15"/>
    <mergeCell ref="A16:F16"/>
    <mergeCell ref="G16:I16"/>
    <mergeCell ref="A17:I17"/>
    <mergeCell ref="A15:F1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Hoja6"/>
  <dimension ref="A1:AQ52"/>
  <sheetViews>
    <sheetView zoomScale="85" zoomScaleNormal="85" workbookViewId="0">
      <selection activeCell="G11" sqref="G11"/>
    </sheetView>
  </sheetViews>
  <sheetFormatPr baseColWidth="10" defaultRowHeight="15" x14ac:dyDescent="0.25"/>
  <cols>
    <col min="1" max="1" width="10.28515625" customWidth="1"/>
    <col min="2" max="2" width="11.5703125" customWidth="1"/>
    <col min="3" max="3" width="12.140625" customWidth="1"/>
    <col min="4" max="4" width="17.140625" customWidth="1"/>
    <col min="5" max="5" width="7.140625" customWidth="1"/>
    <col min="6" max="6" width="9.5703125" customWidth="1"/>
    <col min="7" max="7" width="12.7109375" customWidth="1"/>
    <col min="8" max="8" width="9.140625" customWidth="1"/>
    <col min="9" max="9" width="10" customWidth="1"/>
    <col min="10" max="10" width="6.42578125" hidden="1" customWidth="1"/>
    <col min="12" max="12" width="0" hidden="1" customWidth="1"/>
    <col min="13" max="13" width="11.42578125" hidden="1" customWidth="1"/>
    <col min="14" max="14" width="9.7109375" customWidth="1"/>
    <col min="15" max="16" width="11.42578125" hidden="1" customWidth="1"/>
    <col min="17" max="17" width="62.7109375" hidden="1" customWidth="1"/>
    <col min="18" max="18" width="14.7109375" hidden="1" customWidth="1"/>
    <col min="19" max="20" width="11.42578125" hidden="1" customWidth="1"/>
    <col min="21" max="21" width="0.140625" hidden="1" customWidth="1"/>
    <col min="22" max="22" width="4.85546875" hidden="1" customWidth="1"/>
    <col min="23" max="23" width="3" hidden="1" customWidth="1"/>
    <col min="24" max="24" width="3.28515625" hidden="1" customWidth="1"/>
    <col min="25" max="25" width="3.42578125" hidden="1" customWidth="1"/>
    <col min="26" max="26" width="2.28515625" hidden="1" customWidth="1"/>
    <col min="27" max="27" width="2.7109375" hidden="1" customWidth="1"/>
    <col min="28" max="30" width="2.5703125" hidden="1" customWidth="1"/>
    <col min="31" max="31" width="16.42578125" hidden="1" customWidth="1"/>
    <col min="32" max="32" width="2.140625" hidden="1" customWidth="1"/>
    <col min="33" max="33" width="1.140625" hidden="1" customWidth="1"/>
    <col min="34" max="34" width="2.28515625" hidden="1" customWidth="1"/>
    <col min="35" max="35" width="2.42578125" hidden="1" customWidth="1"/>
    <col min="36" max="36" width="2" hidden="1" customWidth="1"/>
    <col min="37" max="37" width="2.140625" hidden="1" customWidth="1"/>
    <col min="38" max="38" width="2" hidden="1" customWidth="1"/>
    <col min="39" max="39" width="2.85546875" hidden="1" customWidth="1"/>
    <col min="40" max="40" width="14.7109375" hidden="1" customWidth="1"/>
    <col min="41" max="41" width="12.140625" hidden="1" customWidth="1"/>
    <col min="42" max="42" width="9.7109375" hidden="1" customWidth="1"/>
    <col min="43" max="43" width="10.28515625" hidden="1" customWidth="1"/>
    <col min="44" max="44" width="6" customWidth="1"/>
    <col min="45" max="45" width="8.140625" customWidth="1"/>
    <col min="46" max="46" width="7.85546875" customWidth="1"/>
    <col min="47" max="47" width="8.42578125" customWidth="1"/>
    <col min="48" max="48" width="6.7109375" customWidth="1"/>
    <col min="49" max="49" width="8.42578125" customWidth="1"/>
    <col min="50" max="50" width="6.140625" customWidth="1"/>
    <col min="51" max="51" width="8.85546875" customWidth="1"/>
    <col min="52" max="52" width="10.28515625" customWidth="1"/>
  </cols>
  <sheetData>
    <row r="1" spans="1:42" ht="11.25" customHeight="1" x14ac:dyDescent="0.25">
      <c r="A1" s="383"/>
      <c r="B1" s="384"/>
      <c r="C1" s="275" t="s">
        <v>194</v>
      </c>
      <c r="D1" s="275"/>
      <c r="E1" s="275"/>
      <c r="F1" s="275"/>
      <c r="G1" s="275"/>
      <c r="H1" s="275"/>
      <c r="I1" s="276"/>
      <c r="J1" s="1"/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7</v>
      </c>
      <c r="X1" t="s">
        <v>8</v>
      </c>
      <c r="Y1" t="s">
        <v>9</v>
      </c>
      <c r="Z1" t="s">
        <v>10</v>
      </c>
      <c r="AA1" t="s">
        <v>11</v>
      </c>
      <c r="AB1" t="s">
        <v>12</v>
      </c>
      <c r="AC1" t="s">
        <v>13</v>
      </c>
      <c r="AD1" t="s">
        <v>14</v>
      </c>
      <c r="AE1" t="s">
        <v>15</v>
      </c>
      <c r="AF1" t="s">
        <v>16</v>
      </c>
      <c r="AG1" t="s">
        <v>17</v>
      </c>
      <c r="AH1" t="s">
        <v>18</v>
      </c>
      <c r="AI1" t="s">
        <v>19</v>
      </c>
      <c r="AJ1" t="s">
        <v>20</v>
      </c>
      <c r="AK1" t="s">
        <v>21</v>
      </c>
      <c r="AL1" t="s">
        <v>22</v>
      </c>
      <c r="AM1" t="s">
        <v>23</v>
      </c>
      <c r="AN1" t="s">
        <v>24</v>
      </c>
      <c r="AO1" t="s">
        <v>87</v>
      </c>
      <c r="AP1" t="s">
        <v>88</v>
      </c>
    </row>
    <row r="2" spans="1:42" ht="11.25" customHeight="1" x14ac:dyDescent="0.25">
      <c r="A2" s="365"/>
      <c r="B2" s="363"/>
      <c r="C2" s="277"/>
      <c r="D2" s="277"/>
      <c r="E2" s="277"/>
      <c r="F2" s="277"/>
      <c r="G2" s="277"/>
      <c r="H2" s="277"/>
      <c r="I2" s="278"/>
      <c r="J2" s="1"/>
      <c r="Q2">
        <f>D7</f>
        <v>6216</v>
      </c>
      <c r="R2" s="4">
        <f ca="1">B7</f>
        <v>43693</v>
      </c>
      <c r="S2">
        <f>G7</f>
        <v>0</v>
      </c>
      <c r="T2">
        <f>B8</f>
        <v>0</v>
      </c>
      <c r="U2">
        <f>D8</f>
        <v>0</v>
      </c>
      <c r="V2" s="81">
        <f>G8</f>
        <v>0</v>
      </c>
      <c r="W2">
        <f>F9</f>
        <v>916148</v>
      </c>
      <c r="X2">
        <f>I9</f>
        <v>13160</v>
      </c>
      <c r="Y2" s="80">
        <f>B10</f>
        <v>0</v>
      </c>
      <c r="Z2" s="80">
        <f>D10</f>
        <v>0</v>
      </c>
      <c r="AA2" s="80">
        <f>D11</f>
        <v>0</v>
      </c>
      <c r="AB2" s="80" t="str">
        <f>F10</f>
        <v/>
      </c>
      <c r="AC2" s="137" t="str">
        <f>H10</f>
        <v/>
      </c>
      <c r="AD2" s="137">
        <f>B13</f>
        <v>0</v>
      </c>
      <c r="AE2" s="137">
        <f>B14</f>
        <v>0</v>
      </c>
      <c r="AF2" s="81">
        <f>D13</f>
        <v>0</v>
      </c>
      <c r="AG2" s="81">
        <f>D14</f>
        <v>0</v>
      </c>
      <c r="AH2" s="137" t="e">
        <f ca="1">F13</f>
        <v>#N/A</v>
      </c>
      <c r="AI2" s="81" t="str">
        <f>H12</f>
        <v/>
      </c>
      <c r="AJ2" s="81" t="str">
        <f>H13</f>
        <v/>
      </c>
      <c r="AK2" s="81" t="str">
        <f>H14</f>
        <v/>
      </c>
      <c r="AL2" s="81" t="str">
        <f>I13</f>
        <v/>
      </c>
      <c r="AM2">
        <f>A16</f>
        <v>0</v>
      </c>
      <c r="AN2">
        <f>G15</f>
        <v>0</v>
      </c>
      <c r="AO2" t="str">
        <f>IF(P10=1,"CPF1","CPF2")</f>
        <v>CPF1</v>
      </c>
      <c r="AP2" t="str">
        <f>IF(Q6=1,"Tabla 5A","Tabla 5B")</f>
        <v>Tabla 5A</v>
      </c>
    </row>
    <row r="3" spans="1:42" ht="11.25" customHeight="1" x14ac:dyDescent="0.25">
      <c r="A3" s="365"/>
      <c r="B3" s="363"/>
      <c r="C3" s="277" t="s">
        <v>75</v>
      </c>
      <c r="D3" s="277"/>
      <c r="E3" s="387" t="s">
        <v>25</v>
      </c>
      <c r="F3" s="387"/>
      <c r="G3" s="388">
        <v>42810</v>
      </c>
      <c r="H3" s="277" t="s">
        <v>222</v>
      </c>
      <c r="I3" s="278"/>
      <c r="J3" s="1"/>
    </row>
    <row r="4" spans="1:42" ht="12" customHeight="1" x14ac:dyDescent="0.25">
      <c r="A4" s="365"/>
      <c r="B4" s="363"/>
      <c r="C4" s="277"/>
      <c r="D4" s="277"/>
      <c r="E4" s="387"/>
      <c r="F4" s="387"/>
      <c r="G4" s="388"/>
      <c r="H4" s="277"/>
      <c r="I4" s="278"/>
      <c r="J4" s="1"/>
    </row>
    <row r="5" spans="1:42" ht="16.5" customHeight="1" thickBot="1" x14ac:dyDescent="0.3">
      <c r="A5" s="385"/>
      <c r="B5" s="386"/>
      <c r="C5" s="141" t="s">
        <v>26</v>
      </c>
      <c r="D5" s="389" t="s">
        <v>89</v>
      </c>
      <c r="E5" s="389"/>
      <c r="F5" s="2" t="s">
        <v>27</v>
      </c>
      <c r="G5" s="389" t="s">
        <v>28</v>
      </c>
      <c r="H5" s="389"/>
      <c r="I5" s="390"/>
      <c r="J5" s="1"/>
      <c r="N5" s="81"/>
    </row>
    <row r="6" spans="1:42" ht="15" customHeight="1" x14ac:dyDescent="0.25">
      <c r="A6" s="374" t="s">
        <v>29</v>
      </c>
      <c r="B6" s="375"/>
      <c r="C6" s="375"/>
      <c r="D6" s="375"/>
      <c r="E6" s="375"/>
      <c r="F6" s="375"/>
      <c r="G6" s="375"/>
      <c r="H6" s="375"/>
      <c r="I6" s="376"/>
      <c r="J6" s="1"/>
      <c r="Q6">
        <v>1</v>
      </c>
    </row>
    <row r="7" spans="1:42" ht="19.5" customHeight="1" x14ac:dyDescent="0.25">
      <c r="A7" s="3" t="s">
        <v>30</v>
      </c>
      <c r="B7" s="25">
        <f ca="1">TODAY()</f>
        <v>43693</v>
      </c>
      <c r="C7" s="5" t="s">
        <v>31</v>
      </c>
      <c r="D7" s="206">
        <v>6216</v>
      </c>
      <c r="E7" s="286" t="s">
        <v>185</v>
      </c>
      <c r="F7" s="286"/>
      <c r="G7" s="396"/>
      <c r="H7" s="396"/>
      <c r="I7" s="397"/>
      <c r="J7" s="6"/>
      <c r="O7" s="81" t="e">
        <f>(H12+H13)/2</f>
        <v>#VALUE!</v>
      </c>
    </row>
    <row r="8" spans="1:42" ht="19.5" customHeight="1" x14ac:dyDescent="0.25">
      <c r="A8" s="3" t="s">
        <v>33</v>
      </c>
      <c r="B8" s="202"/>
      <c r="C8" s="5" t="s">
        <v>232</v>
      </c>
      <c r="D8" s="202"/>
      <c r="E8" s="265" t="s">
        <v>217</v>
      </c>
      <c r="F8" s="265"/>
      <c r="G8" s="398"/>
      <c r="H8" s="398"/>
      <c r="I8" s="399"/>
      <c r="J8" s="6"/>
    </row>
    <row r="9" spans="1:42" ht="19.5" customHeight="1" x14ac:dyDescent="0.25">
      <c r="A9" s="285" t="s">
        <v>36</v>
      </c>
      <c r="B9" s="263"/>
      <c r="C9" s="7" t="s">
        <v>37</v>
      </c>
      <c r="D9" s="263" t="s">
        <v>38</v>
      </c>
      <c r="E9" s="263"/>
      <c r="F9" s="7">
        <f>IF(G8="CRUDO MITO",B21,IF(G8="DESTILADO",B19,B20))</f>
        <v>916148</v>
      </c>
      <c r="G9" s="286" t="s">
        <v>39</v>
      </c>
      <c r="H9" s="286"/>
      <c r="I9" s="8">
        <v>13160</v>
      </c>
      <c r="J9" s="9"/>
      <c r="L9" t="s">
        <v>119</v>
      </c>
    </row>
    <row r="10" spans="1:42" ht="19.5" customHeight="1" x14ac:dyDescent="0.25">
      <c r="A10" s="10" t="s">
        <v>40</v>
      </c>
      <c r="B10" s="394"/>
      <c r="C10" s="11" t="s">
        <v>229</v>
      </c>
      <c r="D10" s="203"/>
      <c r="E10" s="11" t="s">
        <v>40</v>
      </c>
      <c r="F10" s="381" t="str">
        <f>IF(D11="","",IF(Q6=1,API_60F(R20,R14),API_60F2(R20,R14)))</f>
        <v/>
      </c>
      <c r="G10" s="11" t="s">
        <v>42</v>
      </c>
      <c r="H10" s="372" t="str">
        <f>IF(F10="","",141.5/(F10+131.5))</f>
        <v/>
      </c>
      <c r="I10" s="382"/>
      <c r="J10" s="12"/>
      <c r="N10" s="81" t="e">
        <f>AVERAGE(H12,H13)</f>
        <v>#DIV/0!</v>
      </c>
      <c r="P10">
        <v>1</v>
      </c>
    </row>
    <row r="11" spans="1:42" ht="19.5" customHeight="1" x14ac:dyDescent="0.25">
      <c r="A11" s="13" t="s">
        <v>43</v>
      </c>
      <c r="B11" s="394"/>
      <c r="C11" s="165" t="s">
        <v>44</v>
      </c>
      <c r="D11" s="220"/>
      <c r="E11" s="165" t="s">
        <v>45</v>
      </c>
      <c r="F11" s="381"/>
      <c r="G11" s="14" t="s">
        <v>46</v>
      </c>
      <c r="H11" s="372"/>
      <c r="I11" s="382"/>
      <c r="J11" s="12"/>
      <c r="L11" t="s">
        <v>221</v>
      </c>
      <c r="N11" t="e">
        <f>0.032*POWER(N10,1/3)</f>
        <v>#DIV/0!</v>
      </c>
    </row>
    <row r="12" spans="1:42" ht="19.5" customHeight="1" x14ac:dyDescent="0.25">
      <c r="A12" s="268" t="s">
        <v>47</v>
      </c>
      <c r="B12" s="246"/>
      <c r="C12" s="7" t="s">
        <v>48</v>
      </c>
      <c r="D12" s="161" t="s">
        <v>49</v>
      </c>
      <c r="E12" s="269" t="s">
        <v>90</v>
      </c>
      <c r="F12" s="270"/>
      <c r="G12" s="11" t="s">
        <v>50</v>
      </c>
      <c r="H12" s="15" t="str">
        <f>IF(D13="","",ROUND((D13*F13)/(B13*10),3))</f>
        <v/>
      </c>
      <c r="I12" s="140" t="s">
        <v>22</v>
      </c>
      <c r="J12" s="12"/>
      <c r="N12" t="e">
        <f>IF(ABS(H12-H13)&lt;N11,1,2)</f>
        <v>#VALUE!</v>
      </c>
      <c r="Q12" t="s">
        <v>77</v>
      </c>
      <c r="W12" t="s">
        <v>192</v>
      </c>
    </row>
    <row r="13" spans="1:42" ht="19.5" customHeight="1" x14ac:dyDescent="0.25">
      <c r="A13" s="10" t="s">
        <v>51</v>
      </c>
      <c r="B13" s="204"/>
      <c r="C13" s="164" t="s">
        <v>52</v>
      </c>
      <c r="D13" s="205"/>
      <c r="E13" s="17" t="s">
        <v>53</v>
      </c>
      <c r="F13" s="371" t="e">
        <f ca="1">IF(B7="","",VLOOKUP(B7,Titulo!A6:N36,8,FALSE))</f>
        <v>#N/A</v>
      </c>
      <c r="G13" s="14" t="s">
        <v>54</v>
      </c>
      <c r="H13" s="15" t="str">
        <f>IF(D14="","",ROUND((D14*F13)/(B14*10),3))</f>
        <v/>
      </c>
      <c r="I13" s="373" t="str">
        <f>IF(H14="","",ROUND((H14),3))</f>
        <v/>
      </c>
      <c r="J13" s="12"/>
      <c r="Q13" t="s">
        <v>78</v>
      </c>
      <c r="R13" t="s">
        <v>79</v>
      </c>
      <c r="W13" t="s">
        <v>191</v>
      </c>
    </row>
    <row r="14" spans="1:42" ht="19.5" customHeight="1" x14ac:dyDescent="0.25">
      <c r="A14" s="13" t="s">
        <v>55</v>
      </c>
      <c r="B14" s="204"/>
      <c r="C14" s="165" t="s">
        <v>56</v>
      </c>
      <c r="D14" s="227"/>
      <c r="E14" s="18" t="s">
        <v>57</v>
      </c>
      <c r="F14" s="372"/>
      <c r="G14" s="139" t="s">
        <v>58</v>
      </c>
      <c r="H14" s="15" t="str">
        <f>IF(D14="","",ROUND(((H12+H13)/2)*H10,3))</f>
        <v/>
      </c>
      <c r="I14" s="373"/>
      <c r="J14" s="12"/>
      <c r="K14" s="25">
        <f ca="1">TODAY()</f>
        <v>43693</v>
      </c>
      <c r="M14">
        <v>63.4</v>
      </c>
      <c r="Q14" t="s">
        <v>80</v>
      </c>
      <c r="R14" s="80" t="e">
        <f>+ROUND(AVERAGE(D10:D11),1)</f>
        <v>#DIV/0!</v>
      </c>
      <c r="U14" t="s">
        <v>234</v>
      </c>
      <c r="W14" t="s">
        <v>187</v>
      </c>
    </row>
    <row r="15" spans="1:42" ht="19.5" customHeight="1" x14ac:dyDescent="0.25">
      <c r="A15" s="253"/>
      <c r="B15" s="254"/>
      <c r="C15" s="254"/>
      <c r="D15" s="254"/>
      <c r="E15" s="254"/>
      <c r="F15" s="255"/>
      <c r="G15" s="391"/>
      <c r="H15" s="391"/>
      <c r="I15" s="392"/>
      <c r="J15" s="12"/>
      <c r="K15" t="str">
        <f>IF(H14="","",ROUND((H14),3))</f>
        <v/>
      </c>
      <c r="M15">
        <v>56</v>
      </c>
      <c r="Q15" t="s">
        <v>81</v>
      </c>
      <c r="R15" s="80">
        <f>B10</f>
        <v>0</v>
      </c>
      <c r="U15" t="s">
        <v>225</v>
      </c>
      <c r="W15" t="s">
        <v>193</v>
      </c>
    </row>
    <row r="16" spans="1:42" ht="19.5" customHeight="1" x14ac:dyDescent="0.25">
      <c r="A16" s="393"/>
      <c r="B16" s="391"/>
      <c r="C16" s="391"/>
      <c r="D16" s="391"/>
      <c r="E16" s="391"/>
      <c r="F16" s="391"/>
      <c r="G16" s="363" t="s">
        <v>60</v>
      </c>
      <c r="H16" s="363"/>
      <c r="I16" s="364"/>
      <c r="J16" s="12"/>
      <c r="K16">
        <v>86</v>
      </c>
      <c r="M16" t="s">
        <v>195</v>
      </c>
      <c r="N16" s="151" t="e">
        <f>ROUND(AVERAGE(H12,H13),3)</f>
        <v>#DIV/0!</v>
      </c>
      <c r="Q16" t="s">
        <v>82</v>
      </c>
      <c r="R16">
        <f>+(141.5*999.016)/(131.5+R15)</f>
        <v>1074.9867984790874</v>
      </c>
      <c r="U16" t="s">
        <v>190</v>
      </c>
      <c r="W16" t="s">
        <v>197</v>
      </c>
    </row>
    <row r="17" spans="1:22" ht="21.75" customHeight="1" x14ac:dyDescent="0.25">
      <c r="A17" s="366"/>
      <c r="B17" s="367"/>
      <c r="C17" s="367"/>
      <c r="D17" s="367"/>
      <c r="E17" s="367"/>
      <c r="F17" s="367"/>
      <c r="G17" s="367"/>
      <c r="H17" s="367"/>
      <c r="I17" s="368"/>
      <c r="J17" s="12"/>
      <c r="K17">
        <v>84</v>
      </c>
      <c r="M17" s="149" t="s">
        <v>196</v>
      </c>
      <c r="N17" s="150" t="e">
        <f>ROUND(0.032*POWER(N16,1/3),4)</f>
        <v>#DIV/0!</v>
      </c>
      <c r="Q17" t="s">
        <v>83</v>
      </c>
      <c r="R17" t="e">
        <f>1-(0.00001278*(R14-60))-(0.0000000062*(R14-60)^2)</f>
        <v>#DIV/0!</v>
      </c>
      <c r="U17" t="s">
        <v>188</v>
      </c>
    </row>
    <row r="18" spans="1:22" hidden="1" x14ac:dyDescent="0.25">
      <c r="A18" s="19"/>
      <c r="B18" s="9" t="s">
        <v>202</v>
      </c>
      <c r="C18" s="19" t="s">
        <v>203</v>
      </c>
      <c r="D18" s="20" t="s">
        <v>204</v>
      </c>
      <c r="E18" s="9" t="s">
        <v>205</v>
      </c>
      <c r="F18" s="9"/>
      <c r="G18" s="9"/>
      <c r="H18" s="9"/>
      <c r="I18" s="9"/>
      <c r="J18" s="12"/>
      <c r="N18" s="150" t="e">
        <f>ROUND(0.032*POWER(N17,1/3),4)</f>
        <v>#DIV/0!</v>
      </c>
      <c r="Q18" t="s">
        <v>84</v>
      </c>
      <c r="R18" t="e">
        <f>+R17*R16</f>
        <v>#DIV/0!</v>
      </c>
      <c r="U18" t="s">
        <v>225</v>
      </c>
    </row>
    <row r="19" spans="1:22" hidden="1" x14ac:dyDescent="0.25">
      <c r="A19" s="19" t="s">
        <v>198</v>
      </c>
      <c r="B19" s="19">
        <v>625212</v>
      </c>
      <c r="C19" s="19" t="s">
        <v>201</v>
      </c>
      <c r="D19" s="19">
        <v>0.1</v>
      </c>
      <c r="E19" s="21" t="s">
        <v>206</v>
      </c>
      <c r="F19" s="21"/>
      <c r="G19" s="21"/>
      <c r="H19" s="21"/>
      <c r="I19" s="21"/>
      <c r="J19" s="12"/>
      <c r="N19" s="150" t="e">
        <f>ROUND(0.032*POWER(N18,1/3),4)</f>
        <v>#DIV/0!</v>
      </c>
      <c r="Q19" t="s">
        <v>85</v>
      </c>
      <c r="R19" t="e">
        <f>+R18/999.016</f>
        <v>#DIV/0!</v>
      </c>
      <c r="U19" t="s">
        <v>189</v>
      </c>
      <c r="V19" s="222"/>
    </row>
    <row r="20" spans="1:22" hidden="1" x14ac:dyDescent="0.25">
      <c r="A20" s="21" t="s">
        <v>199</v>
      </c>
      <c r="B20" s="21">
        <v>916148</v>
      </c>
      <c r="C20" s="22" t="s">
        <v>201</v>
      </c>
      <c r="D20" s="21">
        <v>0.1</v>
      </c>
      <c r="E20" s="21" t="s">
        <v>207</v>
      </c>
      <c r="F20" s="22"/>
      <c r="G20" s="9"/>
      <c r="H20" s="9"/>
      <c r="I20" s="9"/>
      <c r="J20" s="12"/>
      <c r="N20" s="150" t="e">
        <f>ROUND(0.032*POWER(N19,1/3),4)</f>
        <v>#DIV/0!</v>
      </c>
      <c r="Q20" t="s">
        <v>9</v>
      </c>
      <c r="R20" t="e">
        <f>141.5/R19-131.5</f>
        <v>#DIV/0!</v>
      </c>
      <c r="U20" t="s">
        <v>212</v>
      </c>
      <c r="V20" s="222"/>
    </row>
    <row r="21" spans="1:22" hidden="1" x14ac:dyDescent="0.25">
      <c r="A21" s="12" t="s">
        <v>200</v>
      </c>
      <c r="B21" s="138">
        <v>521333</v>
      </c>
      <c r="C21" s="12" t="s">
        <v>112</v>
      </c>
      <c r="D21" s="12">
        <v>0.5</v>
      </c>
      <c r="E21" s="12" t="s">
        <v>206</v>
      </c>
      <c r="F21" s="138"/>
      <c r="G21" s="12"/>
      <c r="H21" s="138"/>
      <c r="I21" s="138"/>
      <c r="J21" s="12"/>
      <c r="N21" s="150" t="e">
        <f>ROUND(0.032*POWER(N20,1/3),4)</f>
        <v>#DIV/0!</v>
      </c>
      <c r="Q21" t="s">
        <v>86</v>
      </c>
      <c r="R21" t="e">
        <f>+ROUND(R20,1)</f>
        <v>#DIV/0!</v>
      </c>
      <c r="U21" s="395" t="s">
        <v>190</v>
      </c>
      <c r="V21" s="395"/>
    </row>
    <row r="22" spans="1:22" x14ac:dyDescent="0.25">
      <c r="A22" s="12"/>
      <c r="B22" s="138"/>
      <c r="C22" s="12"/>
      <c r="D22" s="12"/>
      <c r="E22" s="12"/>
      <c r="F22" s="138"/>
      <c r="G22" s="12"/>
      <c r="H22" s="138" t="s">
        <v>216</v>
      </c>
      <c r="I22" s="138"/>
      <c r="J22" s="12"/>
      <c r="N22" s="150">
        <f>ROUND(0.032*POWER(M22,1/3),4)</f>
        <v>0</v>
      </c>
      <c r="U22" t="s">
        <v>226</v>
      </c>
    </row>
    <row r="23" spans="1:22" x14ac:dyDescent="0.25">
      <c r="A23" s="138"/>
      <c r="B23" s="138"/>
      <c r="C23" s="22"/>
      <c r="D23" s="22"/>
      <c r="E23" s="138"/>
      <c r="F23" s="138"/>
      <c r="G23" s="12"/>
      <c r="H23" s="22"/>
      <c r="I23" s="138"/>
      <c r="J23" s="12"/>
      <c r="N23" s="150"/>
      <c r="U23" t="s">
        <v>233</v>
      </c>
    </row>
    <row r="24" spans="1:22" x14ac:dyDescent="0.25">
      <c r="A24" s="12"/>
      <c r="B24" s="138"/>
      <c r="C24" s="12"/>
      <c r="D24" s="22"/>
      <c r="E24" s="22"/>
      <c r="F24" s="138"/>
      <c r="G24" s="12"/>
      <c r="H24" s="138"/>
      <c r="I24" s="138"/>
      <c r="J24" s="12"/>
    </row>
    <row r="25" spans="1:22" x14ac:dyDescent="0.25">
      <c r="A25" s="12"/>
      <c r="B25" s="138"/>
      <c r="C25" s="12"/>
      <c r="D25" s="22"/>
      <c r="E25" s="23"/>
      <c r="F25" s="138"/>
      <c r="G25" s="138"/>
      <c r="H25" s="138"/>
      <c r="I25" s="138"/>
      <c r="J25" s="12"/>
    </row>
    <row r="26" spans="1:22" ht="15" customHeight="1" x14ac:dyDescent="0.25">
      <c r="A26" s="138"/>
      <c r="B26" s="138"/>
      <c r="C26" s="138"/>
      <c r="D26" s="138"/>
      <c r="E26" s="138"/>
      <c r="F26" s="138"/>
      <c r="G26" s="138"/>
      <c r="H26" s="138"/>
      <c r="I26" s="138"/>
      <c r="J26" s="12"/>
    </row>
    <row r="27" spans="1:22" x14ac:dyDescent="0.25">
      <c r="A27" s="138"/>
      <c r="B27" s="138"/>
      <c r="C27" s="138"/>
      <c r="D27" s="138"/>
      <c r="E27" s="138"/>
      <c r="F27" s="138"/>
      <c r="G27" s="138"/>
      <c r="H27" s="138"/>
      <c r="I27" s="138"/>
      <c r="J27" s="12"/>
    </row>
    <row r="28" spans="1:22" ht="9.75" customHeight="1" x14ac:dyDescent="0.25">
      <c r="A28" s="24"/>
      <c r="B28" s="138"/>
      <c r="C28" s="138"/>
      <c r="D28" s="138"/>
      <c r="E28" s="138"/>
      <c r="F28" s="138"/>
      <c r="G28" s="138"/>
      <c r="H28" s="138"/>
      <c r="I28" s="138"/>
      <c r="J28" s="12"/>
    </row>
    <row r="29" spans="1:22" x14ac:dyDescent="0.25">
      <c r="A29" s="19"/>
      <c r="B29" s="9"/>
      <c r="C29" s="19"/>
      <c r="D29" s="20"/>
      <c r="E29" s="9"/>
      <c r="F29" s="9"/>
      <c r="G29" s="9"/>
      <c r="H29" s="9"/>
      <c r="I29" s="9"/>
      <c r="J29" s="12"/>
    </row>
    <row r="30" spans="1:22" x14ac:dyDescent="0.25">
      <c r="A30" s="19"/>
      <c r="B30" s="19"/>
      <c r="C30" s="19"/>
      <c r="D30" s="19"/>
      <c r="E30" s="21"/>
      <c r="F30" s="21"/>
      <c r="G30" s="21"/>
      <c r="H30" s="21"/>
      <c r="I30" s="21"/>
      <c r="J30" s="12"/>
    </row>
    <row r="31" spans="1:22" x14ac:dyDescent="0.25">
      <c r="A31" s="21"/>
      <c r="B31" s="21"/>
      <c r="C31" s="22"/>
      <c r="D31" s="21"/>
      <c r="E31" s="21"/>
      <c r="F31" s="22"/>
      <c r="G31" s="9"/>
      <c r="H31" s="9"/>
      <c r="I31" s="9"/>
      <c r="J31" s="12"/>
    </row>
    <row r="32" spans="1:22" x14ac:dyDescent="0.25">
      <c r="A32" s="12"/>
      <c r="B32" s="138"/>
      <c r="C32" s="12"/>
      <c r="D32" s="12"/>
      <c r="E32" s="12"/>
      <c r="F32" s="138"/>
      <c r="G32" s="12"/>
      <c r="H32" s="138"/>
      <c r="I32" s="138"/>
      <c r="J32" s="12"/>
    </row>
    <row r="33" spans="1:12" x14ac:dyDescent="0.25">
      <c r="A33" s="12"/>
      <c r="B33" s="138"/>
      <c r="C33" s="12"/>
      <c r="D33" s="12"/>
      <c r="E33" s="12"/>
      <c r="F33" s="138"/>
      <c r="G33" s="12"/>
      <c r="H33" s="138"/>
      <c r="I33" s="138"/>
      <c r="J33" s="12"/>
    </row>
    <row r="34" spans="1:12" x14ac:dyDescent="0.25">
      <c r="A34" s="138"/>
      <c r="B34" s="138"/>
      <c r="C34" s="22"/>
      <c r="D34" s="22"/>
      <c r="E34" s="138"/>
      <c r="F34" s="138"/>
      <c r="G34" s="12"/>
      <c r="H34" s="22"/>
      <c r="I34" s="138"/>
      <c r="J34" s="12"/>
    </row>
    <row r="35" spans="1:12" ht="15" customHeight="1" x14ac:dyDescent="0.25">
      <c r="A35" s="12"/>
      <c r="B35" s="138"/>
      <c r="C35" s="12"/>
      <c r="D35" s="22"/>
      <c r="E35" s="22"/>
      <c r="F35" s="138"/>
      <c r="G35" s="12"/>
      <c r="H35" s="138"/>
      <c r="I35" s="138"/>
      <c r="J35" s="12"/>
    </row>
    <row r="36" spans="1:12" x14ac:dyDescent="0.25">
      <c r="A36" s="12"/>
      <c r="B36" s="138"/>
      <c r="C36" s="12"/>
      <c r="D36" s="22"/>
      <c r="E36" s="23"/>
      <c r="F36" s="138"/>
      <c r="G36" s="138"/>
      <c r="H36" s="138"/>
      <c r="I36" s="138"/>
      <c r="J36" s="12"/>
    </row>
    <row r="37" spans="1:12" x14ac:dyDescent="0.25">
      <c r="A37" s="138"/>
      <c r="B37" s="138"/>
      <c r="C37" s="138"/>
      <c r="D37" s="138"/>
      <c r="E37" s="138"/>
      <c r="F37" s="138"/>
      <c r="G37" s="138"/>
      <c r="H37" s="138"/>
      <c r="I37" s="138"/>
      <c r="J37" s="12"/>
    </row>
    <row r="38" spans="1:12" x14ac:dyDescent="0.25">
      <c r="A38" s="138"/>
      <c r="B38" s="138"/>
      <c r="C38" s="138"/>
      <c r="D38" s="138"/>
      <c r="E38" s="138"/>
      <c r="F38" s="138"/>
      <c r="G38" s="138"/>
      <c r="H38" s="138"/>
      <c r="I38" s="138"/>
    </row>
    <row r="39" spans="1:12" ht="9.75" customHeight="1" x14ac:dyDescent="0.25">
      <c r="A39" s="24"/>
      <c r="B39" s="138"/>
      <c r="C39" s="138"/>
      <c r="D39" s="138"/>
      <c r="E39" s="138"/>
      <c r="F39" s="138"/>
      <c r="G39" s="138"/>
      <c r="H39" s="138"/>
      <c r="I39" s="138"/>
    </row>
    <row r="40" spans="1:12" x14ac:dyDescent="0.25">
      <c r="A40" s="19"/>
      <c r="B40" s="9"/>
      <c r="C40" s="19"/>
      <c r="D40" s="20"/>
      <c r="E40" s="9"/>
      <c r="F40" s="9"/>
      <c r="G40" s="9"/>
      <c r="H40" s="9"/>
      <c r="I40" s="9"/>
      <c r="L40" s="22"/>
    </row>
    <row r="41" spans="1:12" x14ac:dyDescent="0.25">
      <c r="A41" s="19"/>
      <c r="B41" s="19"/>
      <c r="C41" s="19"/>
      <c r="D41" s="19"/>
      <c r="E41" s="21"/>
      <c r="F41" s="21"/>
      <c r="G41" s="21"/>
      <c r="H41" s="21"/>
      <c r="I41" s="21"/>
    </row>
    <row r="42" spans="1:12" x14ac:dyDescent="0.25">
      <c r="A42" s="21"/>
      <c r="B42" s="21"/>
      <c r="C42" s="22"/>
      <c r="D42" s="21"/>
      <c r="E42" s="21"/>
      <c r="F42" s="22"/>
      <c r="G42" s="9"/>
      <c r="H42" s="9"/>
      <c r="I42" s="9"/>
    </row>
    <row r="43" spans="1:12" x14ac:dyDescent="0.25">
      <c r="A43" s="12"/>
      <c r="B43" s="138"/>
      <c r="C43" s="12"/>
      <c r="D43" s="12"/>
      <c r="E43" s="12"/>
      <c r="F43" s="138"/>
      <c r="G43" s="12"/>
      <c r="H43" s="138"/>
      <c r="I43" s="138"/>
    </row>
    <row r="44" spans="1:12" ht="15" customHeight="1" x14ac:dyDescent="0.25">
      <c r="A44" s="12"/>
      <c r="B44" s="138"/>
      <c r="C44" s="12"/>
      <c r="D44" s="12"/>
      <c r="E44" s="12"/>
      <c r="F44" s="138"/>
      <c r="G44" s="12"/>
      <c r="H44" s="138"/>
      <c r="I44" s="138"/>
    </row>
    <row r="45" spans="1:12" x14ac:dyDescent="0.25">
      <c r="A45" s="138"/>
      <c r="B45" s="138"/>
      <c r="C45" s="22"/>
      <c r="D45" s="22"/>
      <c r="E45" s="138"/>
      <c r="F45" s="138"/>
      <c r="G45" s="12"/>
      <c r="H45" s="22"/>
      <c r="I45" s="138"/>
    </row>
    <row r="46" spans="1:12" x14ac:dyDescent="0.25">
      <c r="A46" s="12"/>
      <c r="B46" s="138"/>
      <c r="C46" s="12"/>
      <c r="D46" s="22"/>
      <c r="E46" s="22"/>
      <c r="F46" s="138"/>
      <c r="G46" s="12"/>
      <c r="H46" s="138"/>
      <c r="I46" s="138"/>
    </row>
    <row r="47" spans="1:12" x14ac:dyDescent="0.25">
      <c r="A47" s="12"/>
      <c r="B47" s="138"/>
      <c r="C47" s="12"/>
      <c r="D47" s="22"/>
      <c r="E47" s="23"/>
      <c r="F47" s="138"/>
      <c r="G47" s="138"/>
      <c r="H47" s="138"/>
      <c r="I47" s="138"/>
    </row>
    <row r="48" spans="1:12" x14ac:dyDescent="0.25">
      <c r="A48" s="138"/>
      <c r="B48" s="138"/>
      <c r="C48" s="138"/>
      <c r="D48" s="138"/>
      <c r="E48" s="138"/>
      <c r="F48" s="138"/>
      <c r="G48" s="138"/>
      <c r="H48" s="138"/>
      <c r="I48" s="138"/>
    </row>
    <row r="49" spans="1:9" x14ac:dyDescent="0.25">
      <c r="A49" s="138"/>
      <c r="B49" s="138"/>
      <c r="C49" s="138"/>
      <c r="D49" s="138"/>
      <c r="E49" s="138"/>
      <c r="F49" s="138"/>
      <c r="G49" s="138"/>
      <c r="H49" s="138"/>
      <c r="I49" s="138"/>
    </row>
    <row r="50" spans="1:9" x14ac:dyDescent="0.25">
      <c r="A50" s="296"/>
      <c r="B50" s="296"/>
      <c r="C50" s="22"/>
      <c r="D50" s="22"/>
      <c r="E50" s="138"/>
      <c r="F50" s="138"/>
      <c r="G50" s="12"/>
      <c r="H50" s="22"/>
      <c r="I50" s="138"/>
    </row>
    <row r="51" spans="1:9" x14ac:dyDescent="0.25">
      <c r="A51" s="12"/>
      <c r="B51" s="138"/>
      <c r="C51" s="12"/>
      <c r="D51" s="22"/>
      <c r="E51" s="22"/>
      <c r="F51" s="296"/>
      <c r="G51" s="12"/>
      <c r="H51" s="138"/>
      <c r="I51" s="296"/>
    </row>
    <row r="52" spans="1:9" x14ac:dyDescent="0.25">
      <c r="A52" s="12"/>
      <c r="B52" s="138"/>
      <c r="C52" s="12"/>
      <c r="D52" s="22"/>
      <c r="E52" s="23"/>
      <c r="F52" s="296"/>
      <c r="G52" s="138"/>
      <c r="H52" s="138"/>
      <c r="I52" s="296"/>
    </row>
  </sheetData>
  <sortState xmlns:xlrd2="http://schemas.microsoft.com/office/spreadsheetml/2017/richdata2" ref="W12:W15">
    <sortCondition ref="W12"/>
  </sortState>
  <mergeCells count="32">
    <mergeCell ref="U21:V21"/>
    <mergeCell ref="A1:B5"/>
    <mergeCell ref="C1:I2"/>
    <mergeCell ref="C3:D4"/>
    <mergeCell ref="E3:F4"/>
    <mergeCell ref="G3:G4"/>
    <mergeCell ref="H3:I4"/>
    <mergeCell ref="D5:E5"/>
    <mergeCell ref="G5:I5"/>
    <mergeCell ref="F13:F14"/>
    <mergeCell ref="I13:I14"/>
    <mergeCell ref="A6:I6"/>
    <mergeCell ref="E7:F7"/>
    <mergeCell ref="G7:I7"/>
    <mergeCell ref="E8:F8"/>
    <mergeCell ref="G8:I8"/>
    <mergeCell ref="A9:B9"/>
    <mergeCell ref="D9:E9"/>
    <mergeCell ref="G9:H9"/>
    <mergeCell ref="B10:B11"/>
    <mergeCell ref="F10:F11"/>
    <mergeCell ref="H10:I11"/>
    <mergeCell ref="A12:B12"/>
    <mergeCell ref="E12:F12"/>
    <mergeCell ref="F51:F52"/>
    <mergeCell ref="I51:I52"/>
    <mergeCell ref="A15:F15"/>
    <mergeCell ref="G15:I15"/>
    <mergeCell ref="A16:F16"/>
    <mergeCell ref="G16:I16"/>
    <mergeCell ref="A17:I17"/>
    <mergeCell ref="A50:B50"/>
  </mergeCells>
  <conditionalFormatting sqref="I13:I14">
    <cfRule type="expression" dxfId="1" priority="1">
      <formula>$N$12=1</formula>
    </cfRule>
    <cfRule type="expression" dxfId="0" priority="2">
      <formula>$N$12=2</formula>
    </cfRule>
  </conditionalFormatting>
  <dataValidations count="2">
    <dataValidation type="list" allowBlank="1" showInputMessage="1" showErrorMessage="1" sqref="G8:I8" xr:uid="{00000000-0002-0000-3E00-000000000000}">
      <formula1>$W$12:$W$16</formula1>
    </dataValidation>
    <dataValidation type="list" allowBlank="1" showInputMessage="1" showErrorMessage="1" sqref="G15:I15" xr:uid="{00000000-0002-0000-3E00-000001000000}">
      <formula1>$U$13:$U$23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egarDatosctk">
                <anchor moveWithCells="1" sizeWithCells="1">
                  <from>
                    <xdr:col>10</xdr:col>
                    <xdr:colOff>76200</xdr:colOff>
                    <xdr:row>5</xdr:row>
                    <xdr:rowOff>171450</xdr:rowOff>
                  </from>
                  <to>
                    <xdr:col>13</xdr:col>
                    <xdr:colOff>76200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Option Button 2">
              <controlPr defaultSize="0" autoFill="0" autoLine="0" autoPict="0" macro="[0]!Macro1">
                <anchor moveWithCells="1">
                  <from>
                    <xdr:col>10</xdr:col>
                    <xdr:colOff>28575</xdr:colOff>
                    <xdr:row>7</xdr:row>
                    <xdr:rowOff>228600</xdr:rowOff>
                  </from>
                  <to>
                    <xdr:col>13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Option Button 3">
              <controlPr defaultSize="0" autoFill="0" autoLine="0" autoPict="0">
                <anchor moveWithCells="1">
                  <from>
                    <xdr:col>10</xdr:col>
                    <xdr:colOff>9525</xdr:colOff>
                    <xdr:row>9</xdr:row>
                    <xdr:rowOff>219075</xdr:rowOff>
                  </from>
                  <to>
                    <xdr:col>13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9</xdr:col>
                    <xdr:colOff>9525</xdr:colOff>
                    <xdr:row>0</xdr:row>
                    <xdr:rowOff>66675</xdr:rowOff>
                  </from>
                  <to>
                    <xdr:col>11</xdr:col>
                    <xdr:colOff>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Option Button 5">
              <controlPr defaultSize="0" autoFill="0" autoLine="0" autoPict="0">
                <anchor mov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714375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Option Button 6">
              <controlPr defaultSize="0" autoFill="0" autoLine="0" autoPict="0">
                <anchor moveWithCells="1">
                  <from>
                    <xdr:col>10</xdr:col>
                    <xdr:colOff>66675</xdr:colOff>
                    <xdr:row>3</xdr:row>
                    <xdr:rowOff>114300</xdr:rowOff>
                  </from>
                  <to>
                    <xdr:col>10</xdr:col>
                    <xdr:colOff>533400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Hoja8"/>
  <dimension ref="A1:Z3908"/>
  <sheetViews>
    <sheetView workbookViewId="0">
      <selection activeCell="D6" sqref="D6"/>
    </sheetView>
  </sheetViews>
  <sheetFormatPr baseColWidth="10" defaultRowHeight="15" x14ac:dyDescent="0.25"/>
  <cols>
    <col min="1" max="1" width="14.28515625" style="147" customWidth="1"/>
    <col min="2" max="2" width="10.7109375" style="25" customWidth="1"/>
    <col min="3" max="3" width="12.5703125" customWidth="1"/>
    <col min="4" max="4" width="10.85546875" customWidth="1"/>
    <col min="5" max="5" width="11.140625" customWidth="1"/>
    <col min="6" max="6" width="12.42578125" bestFit="1" customWidth="1"/>
    <col min="7" max="7" width="19.42578125" bestFit="1" customWidth="1"/>
    <col min="8" max="8" width="20" bestFit="1" customWidth="1"/>
    <col min="9" max="9" width="16.28515625" customWidth="1"/>
    <col min="10" max="10" width="13.28515625" customWidth="1"/>
    <col min="11" max="11" width="12" customWidth="1"/>
    <col min="12" max="12" width="6.42578125" customWidth="1"/>
    <col min="13" max="13" width="18.85546875" customWidth="1"/>
    <col min="14" max="14" width="15.5703125" customWidth="1"/>
    <col min="15" max="15" width="15.7109375" customWidth="1"/>
    <col min="16" max="16" width="12.42578125" customWidth="1"/>
    <col min="17" max="18" width="12.28515625" customWidth="1"/>
    <col min="19" max="20" width="10.140625" customWidth="1"/>
    <col min="21" max="21" width="13.5703125" customWidth="1"/>
    <col min="22" max="22" width="7.5703125" customWidth="1"/>
    <col min="23" max="23" width="6.140625" customWidth="1"/>
    <col min="24" max="24" width="14.28515625" customWidth="1"/>
    <col min="26" max="26" width="16.85546875" customWidth="1"/>
  </cols>
  <sheetData>
    <row r="1" spans="1:26" x14ac:dyDescent="0.25">
      <c r="A1" s="148" t="s">
        <v>1</v>
      </c>
      <c r="B1" s="25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87</v>
      </c>
      <c r="Z1" t="s">
        <v>88</v>
      </c>
    </row>
    <row r="2" spans="1:26" x14ac:dyDescent="0.25">
      <c r="A2" s="148"/>
    </row>
    <row r="3" spans="1:26" x14ac:dyDescent="0.25">
      <c r="A3" s="148"/>
    </row>
    <row r="4" spans="1:26" x14ac:dyDescent="0.25">
      <c r="A4" s="148"/>
    </row>
    <row r="5" spans="1:26" x14ac:dyDescent="0.25">
      <c r="A5" s="148"/>
    </row>
    <row r="6" spans="1:26" x14ac:dyDescent="0.25">
      <c r="A6" s="148"/>
    </row>
    <row r="7" spans="1:26" x14ac:dyDescent="0.25">
      <c r="A7" s="148"/>
    </row>
    <row r="8" spans="1:26" x14ac:dyDescent="0.25">
      <c r="A8" s="148"/>
    </row>
    <row r="9" spans="1:26" x14ac:dyDescent="0.25">
      <c r="A9" s="148"/>
    </row>
    <row r="10" spans="1:26" x14ac:dyDescent="0.25">
      <c r="A10" s="148"/>
    </row>
    <row r="11" spans="1:26" x14ac:dyDescent="0.25">
      <c r="A11" s="148"/>
    </row>
    <row r="12" spans="1:26" x14ac:dyDescent="0.25">
      <c r="A12" s="148"/>
    </row>
    <row r="13" spans="1:26" x14ac:dyDescent="0.25">
      <c r="A13" s="148"/>
    </row>
    <row r="14" spans="1:26" x14ac:dyDescent="0.25">
      <c r="A14" s="148"/>
    </row>
    <row r="15" spans="1:26" x14ac:dyDescent="0.25">
      <c r="A15" s="148"/>
    </row>
    <row r="16" spans="1:26" x14ac:dyDescent="0.25">
      <c r="A16" s="148"/>
    </row>
    <row r="17" spans="1:1" x14ac:dyDescent="0.25">
      <c r="A17" s="148"/>
    </row>
    <row r="18" spans="1:1" x14ac:dyDescent="0.25">
      <c r="A18" s="148"/>
    </row>
    <row r="19" spans="1:1" x14ac:dyDescent="0.25">
      <c r="A19" s="148"/>
    </row>
    <row r="20" spans="1:1" x14ac:dyDescent="0.25">
      <c r="A20" s="148"/>
    </row>
    <row r="21" spans="1:1" x14ac:dyDescent="0.25">
      <c r="A21" s="148"/>
    </row>
    <row r="22" spans="1:1" x14ac:dyDescent="0.25">
      <c r="A22" s="148"/>
    </row>
    <row r="23" spans="1:1" x14ac:dyDescent="0.25">
      <c r="A23" s="148"/>
    </row>
    <row r="24" spans="1:1" x14ac:dyDescent="0.25">
      <c r="A24" s="148"/>
    </row>
    <row r="25" spans="1:1" x14ac:dyDescent="0.25">
      <c r="A25" s="148"/>
    </row>
    <row r="26" spans="1:1" x14ac:dyDescent="0.25">
      <c r="A26" s="148"/>
    </row>
    <row r="27" spans="1:1" x14ac:dyDescent="0.25">
      <c r="A27" s="148"/>
    </row>
    <row r="28" spans="1:1" x14ac:dyDescent="0.25">
      <c r="A28" s="148"/>
    </row>
    <row r="29" spans="1:1" x14ac:dyDescent="0.25">
      <c r="A29" s="148"/>
    </row>
    <row r="30" spans="1:1" x14ac:dyDescent="0.25">
      <c r="A30" s="148"/>
    </row>
    <row r="31" spans="1:1" x14ac:dyDescent="0.25">
      <c r="A31" s="148"/>
    </row>
    <row r="32" spans="1:1" x14ac:dyDescent="0.25">
      <c r="A32" s="148"/>
    </row>
    <row r="33" spans="1:2" x14ac:dyDescent="0.25">
      <c r="A33" s="148"/>
    </row>
    <row r="34" spans="1:2" x14ac:dyDescent="0.25">
      <c r="A34" s="148"/>
    </row>
    <row r="35" spans="1:2" x14ac:dyDescent="0.25">
      <c r="A35" s="148"/>
    </row>
    <row r="36" spans="1:2" x14ac:dyDescent="0.25">
      <c r="A36" s="148"/>
    </row>
    <row r="37" spans="1:2" s="209" customFormat="1" ht="16.5" customHeight="1" x14ac:dyDescent="0.25">
      <c r="A37" s="207"/>
      <c r="B37" s="208"/>
    </row>
    <row r="38" spans="1:2" s="209" customFormat="1" ht="16.5" customHeight="1" x14ac:dyDescent="0.25">
      <c r="A38" s="207"/>
      <c r="B38" s="208"/>
    </row>
    <row r="39" spans="1:2" s="209" customFormat="1" ht="18" customHeight="1" x14ac:dyDescent="0.25">
      <c r="A39" s="207"/>
      <c r="B39" s="208"/>
    </row>
    <row r="40" spans="1:2" s="209" customFormat="1" ht="16.5" customHeight="1" x14ac:dyDescent="0.25">
      <c r="A40" s="207"/>
      <c r="B40" s="208"/>
    </row>
    <row r="41" spans="1:2" s="209" customFormat="1" ht="16.5" customHeight="1" x14ac:dyDescent="0.25">
      <c r="A41" s="207"/>
      <c r="B41" s="208"/>
    </row>
    <row r="42" spans="1:2" s="209" customFormat="1" ht="16.5" customHeight="1" x14ac:dyDescent="0.25">
      <c r="A42" s="207"/>
      <c r="B42" s="208"/>
    </row>
    <row r="43" spans="1:2" s="209" customFormat="1" ht="16.5" customHeight="1" x14ac:dyDescent="0.25">
      <c r="A43" s="207"/>
      <c r="B43" s="208"/>
    </row>
    <row r="44" spans="1:2" s="209" customFormat="1" ht="16.5" customHeight="1" x14ac:dyDescent="0.25">
      <c r="A44" s="207"/>
      <c r="B44" s="208"/>
    </row>
    <row r="45" spans="1:2" s="209" customFormat="1" ht="16.5" customHeight="1" x14ac:dyDescent="0.25">
      <c r="A45" s="207"/>
      <c r="B45" s="208"/>
    </row>
    <row r="46" spans="1:2" s="209" customFormat="1" ht="16.5" customHeight="1" x14ac:dyDescent="0.25">
      <c r="A46" s="207"/>
      <c r="B46" s="208"/>
    </row>
    <row r="47" spans="1:2" s="209" customFormat="1" ht="16.5" customHeight="1" x14ac:dyDescent="0.25">
      <c r="A47" s="207"/>
      <c r="B47" s="208"/>
    </row>
    <row r="48" spans="1:2" s="209" customFormat="1" ht="16.5" customHeight="1" x14ac:dyDescent="0.25">
      <c r="A48" s="207"/>
      <c r="B48" s="208"/>
    </row>
    <row r="49" spans="1:2" s="209" customFormat="1" ht="16.5" customHeight="1" x14ac:dyDescent="0.25">
      <c r="A49" s="207"/>
      <c r="B49" s="208"/>
    </row>
    <row r="50" spans="1:2" s="209" customFormat="1" ht="16.5" customHeight="1" x14ac:dyDescent="0.25">
      <c r="A50" s="207"/>
      <c r="B50" s="208"/>
    </row>
    <row r="51" spans="1:2" s="209" customFormat="1" ht="16.5" customHeight="1" x14ac:dyDescent="0.25">
      <c r="A51" s="207"/>
      <c r="B51" s="208"/>
    </row>
    <row r="52" spans="1:2" s="209" customFormat="1" ht="16.5" customHeight="1" x14ac:dyDescent="0.25">
      <c r="A52" s="207"/>
      <c r="B52" s="208"/>
    </row>
    <row r="53" spans="1:2" s="209" customFormat="1" ht="16.5" customHeight="1" x14ac:dyDescent="0.25">
      <c r="A53" s="207"/>
      <c r="B53" s="208"/>
    </row>
    <row r="54" spans="1:2" s="209" customFormat="1" ht="16.5" customHeight="1" x14ac:dyDescent="0.25">
      <c r="A54" s="207"/>
      <c r="B54" s="208"/>
    </row>
    <row r="55" spans="1:2" s="209" customFormat="1" ht="16.5" customHeight="1" x14ac:dyDescent="0.25">
      <c r="A55" s="207"/>
      <c r="B55" s="208"/>
    </row>
    <row r="56" spans="1:2" s="209" customFormat="1" ht="16.5" customHeight="1" x14ac:dyDescent="0.25">
      <c r="A56" s="207"/>
      <c r="B56" s="208"/>
    </row>
    <row r="57" spans="1:2" s="209" customFormat="1" ht="16.5" customHeight="1" x14ac:dyDescent="0.25">
      <c r="A57" s="207"/>
      <c r="B57" s="208"/>
    </row>
    <row r="58" spans="1:2" s="209" customFormat="1" ht="16.5" customHeight="1" x14ac:dyDescent="0.25">
      <c r="A58" s="207"/>
      <c r="B58" s="208"/>
    </row>
    <row r="59" spans="1:2" s="209" customFormat="1" ht="16.5" customHeight="1" x14ac:dyDescent="0.25">
      <c r="A59" s="207"/>
      <c r="B59" s="208"/>
    </row>
    <row r="60" spans="1:2" s="209" customFormat="1" ht="16.5" customHeight="1" x14ac:dyDescent="0.25">
      <c r="A60" s="207"/>
      <c r="B60" s="208"/>
    </row>
    <row r="61" spans="1:2" s="209" customFormat="1" ht="16.5" customHeight="1" x14ac:dyDescent="0.25">
      <c r="A61" s="207"/>
      <c r="B61" s="208"/>
    </row>
    <row r="62" spans="1:2" s="209" customFormat="1" ht="16.5" customHeight="1" x14ac:dyDescent="0.25">
      <c r="A62" s="207"/>
      <c r="B62" s="208"/>
    </row>
    <row r="63" spans="1:2" s="209" customFormat="1" ht="16.5" customHeight="1" x14ac:dyDescent="0.25">
      <c r="A63" s="207"/>
      <c r="B63" s="208"/>
    </row>
    <row r="64" spans="1:2" s="209" customFormat="1" ht="16.5" customHeight="1" x14ac:dyDescent="0.25">
      <c r="A64" s="207"/>
      <c r="B64" s="208"/>
    </row>
    <row r="65" spans="1:2" s="209" customFormat="1" ht="16.5" customHeight="1" x14ac:dyDescent="0.25">
      <c r="A65" s="207"/>
      <c r="B65" s="208"/>
    </row>
    <row r="66" spans="1:2" s="209" customFormat="1" ht="16.5" customHeight="1" x14ac:dyDescent="0.25">
      <c r="A66" s="207"/>
      <c r="B66" s="208"/>
    </row>
    <row r="67" spans="1:2" s="209" customFormat="1" ht="16.5" customHeight="1" x14ac:dyDescent="0.25">
      <c r="A67" s="207"/>
      <c r="B67" s="208"/>
    </row>
    <row r="68" spans="1:2" s="209" customFormat="1" ht="16.5" customHeight="1" x14ac:dyDescent="0.25">
      <c r="A68" s="207"/>
      <c r="B68" s="208"/>
    </row>
    <row r="69" spans="1:2" s="209" customFormat="1" ht="16.5" customHeight="1" x14ac:dyDescent="0.25">
      <c r="A69" s="207"/>
      <c r="B69" s="208"/>
    </row>
    <row r="70" spans="1:2" s="209" customFormat="1" ht="16.5" customHeight="1" x14ac:dyDescent="0.25">
      <c r="A70" s="207"/>
      <c r="B70" s="208"/>
    </row>
    <row r="71" spans="1:2" s="209" customFormat="1" ht="16.5" customHeight="1" x14ac:dyDescent="0.25">
      <c r="A71" s="207"/>
      <c r="B71" s="208"/>
    </row>
    <row r="72" spans="1:2" s="209" customFormat="1" ht="16.5" customHeight="1" x14ac:dyDescent="0.25">
      <c r="A72" s="207"/>
      <c r="B72" s="208"/>
    </row>
    <row r="73" spans="1:2" s="209" customFormat="1" ht="16.5" customHeight="1" x14ac:dyDescent="0.25">
      <c r="A73" s="207"/>
      <c r="B73" s="208"/>
    </row>
    <row r="74" spans="1:2" s="209" customFormat="1" ht="16.5" customHeight="1" x14ac:dyDescent="0.25">
      <c r="A74" s="207"/>
      <c r="B74" s="208"/>
    </row>
    <row r="75" spans="1:2" s="209" customFormat="1" ht="16.5" customHeight="1" x14ac:dyDescent="0.25">
      <c r="A75" s="207"/>
      <c r="B75" s="208"/>
    </row>
    <row r="76" spans="1:2" s="209" customFormat="1" ht="16.5" customHeight="1" x14ac:dyDescent="0.25">
      <c r="A76" s="207"/>
      <c r="B76" s="208"/>
    </row>
    <row r="77" spans="1:2" s="209" customFormat="1" ht="16.5" customHeight="1" x14ac:dyDescent="0.25">
      <c r="A77" s="207"/>
      <c r="B77" s="208"/>
    </row>
    <row r="78" spans="1:2" s="209" customFormat="1" ht="16.5" customHeight="1" x14ac:dyDescent="0.25">
      <c r="A78" s="207"/>
      <c r="B78" s="208"/>
    </row>
    <row r="79" spans="1:2" s="209" customFormat="1" ht="16.5" customHeight="1" x14ac:dyDescent="0.25">
      <c r="A79" s="207"/>
      <c r="B79" s="208"/>
    </row>
    <row r="80" spans="1:2" s="209" customFormat="1" ht="16.5" customHeight="1" x14ac:dyDescent="0.25">
      <c r="A80" s="207"/>
      <c r="B80" s="208"/>
    </row>
    <row r="81" spans="1:2" s="209" customFormat="1" ht="16.5" customHeight="1" x14ac:dyDescent="0.25">
      <c r="A81" s="207"/>
      <c r="B81" s="208"/>
    </row>
    <row r="82" spans="1:2" s="209" customFormat="1" ht="16.5" customHeight="1" x14ac:dyDescent="0.25">
      <c r="A82" s="207"/>
      <c r="B82" s="208"/>
    </row>
    <row r="83" spans="1:2" s="209" customFormat="1" ht="16.5" customHeight="1" x14ac:dyDescent="0.25">
      <c r="A83" s="207"/>
      <c r="B83" s="208"/>
    </row>
    <row r="84" spans="1:2" s="209" customFormat="1" ht="16.5" customHeight="1" x14ac:dyDescent="0.25">
      <c r="A84" s="207"/>
      <c r="B84" s="208"/>
    </row>
    <row r="85" spans="1:2" s="209" customFormat="1" ht="16.5" customHeight="1" x14ac:dyDescent="0.25">
      <c r="A85" s="207"/>
      <c r="B85" s="208"/>
    </row>
    <row r="86" spans="1:2" s="209" customFormat="1" ht="16.5" customHeight="1" x14ac:dyDescent="0.25">
      <c r="A86" s="207"/>
      <c r="B86" s="208"/>
    </row>
    <row r="87" spans="1:2" s="209" customFormat="1" ht="16.5" customHeight="1" x14ac:dyDescent="0.25">
      <c r="A87" s="207"/>
      <c r="B87" s="208"/>
    </row>
    <row r="88" spans="1:2" s="209" customFormat="1" ht="16.5" customHeight="1" x14ac:dyDescent="0.25">
      <c r="A88" s="207"/>
      <c r="B88" s="208"/>
    </row>
    <row r="89" spans="1:2" s="209" customFormat="1" ht="16.5" customHeight="1" x14ac:dyDescent="0.25">
      <c r="A89" s="207"/>
      <c r="B89" s="208"/>
    </row>
    <row r="90" spans="1:2" s="209" customFormat="1" ht="16.5" customHeight="1" x14ac:dyDescent="0.25">
      <c r="A90" s="207"/>
      <c r="B90" s="208"/>
    </row>
    <row r="91" spans="1:2" s="209" customFormat="1" ht="16.5" customHeight="1" x14ac:dyDescent="0.25">
      <c r="A91" s="207"/>
      <c r="B91" s="208"/>
    </row>
    <row r="92" spans="1:2" s="209" customFormat="1" ht="16.5" customHeight="1" x14ac:dyDescent="0.25">
      <c r="A92" s="207"/>
      <c r="B92" s="208"/>
    </row>
    <row r="93" spans="1:2" s="209" customFormat="1" ht="16.5" customHeight="1" x14ac:dyDescent="0.25">
      <c r="A93" s="207"/>
      <c r="B93" s="208"/>
    </row>
    <row r="94" spans="1:2" s="209" customFormat="1" ht="16.5" customHeight="1" x14ac:dyDescent="0.25">
      <c r="A94" s="207"/>
      <c r="B94" s="208"/>
    </row>
    <row r="95" spans="1:2" s="209" customFormat="1" ht="16.5" customHeight="1" x14ac:dyDescent="0.25">
      <c r="A95" s="207"/>
      <c r="B95" s="208"/>
    </row>
    <row r="96" spans="1:2" s="209" customFormat="1" ht="16.5" customHeight="1" x14ac:dyDescent="0.25">
      <c r="A96" s="207"/>
      <c r="B96" s="208"/>
    </row>
    <row r="97" spans="1:2" s="209" customFormat="1" ht="16.5" customHeight="1" x14ac:dyDescent="0.25">
      <c r="A97" s="207"/>
      <c r="B97" s="208"/>
    </row>
    <row r="98" spans="1:2" s="209" customFormat="1" ht="16.5" customHeight="1" x14ac:dyDescent="0.25">
      <c r="A98" s="207"/>
      <c r="B98" s="208"/>
    </row>
    <row r="99" spans="1:2" s="209" customFormat="1" ht="16.5" customHeight="1" x14ac:dyDescent="0.25">
      <c r="A99" s="207"/>
      <c r="B99" s="208"/>
    </row>
    <row r="100" spans="1:2" s="209" customFormat="1" ht="16.5" customHeight="1" x14ac:dyDescent="0.25">
      <c r="A100" s="207"/>
      <c r="B100" s="208"/>
    </row>
    <row r="101" spans="1:2" s="209" customFormat="1" ht="16.5" customHeight="1" x14ac:dyDescent="0.25">
      <c r="A101" s="207"/>
      <c r="B101" s="208"/>
    </row>
    <row r="102" spans="1:2" s="209" customFormat="1" ht="16.5" customHeight="1" x14ac:dyDescent="0.25">
      <c r="A102" s="207"/>
      <c r="B102" s="208"/>
    </row>
    <row r="103" spans="1:2" s="209" customFormat="1" ht="16.5" customHeight="1" x14ac:dyDescent="0.25">
      <c r="A103" s="207"/>
      <c r="B103" s="208"/>
    </row>
    <row r="104" spans="1:2" s="209" customFormat="1" ht="16.5" customHeight="1" x14ac:dyDescent="0.25">
      <c r="A104" s="207"/>
      <c r="B104" s="208"/>
    </row>
    <row r="105" spans="1:2" s="209" customFormat="1" ht="16.5" customHeight="1" x14ac:dyDescent="0.25">
      <c r="A105" s="207"/>
      <c r="B105" s="208"/>
    </row>
    <row r="106" spans="1:2" s="209" customFormat="1" ht="16.5" customHeight="1" x14ac:dyDescent="0.25">
      <c r="A106" s="207"/>
      <c r="B106" s="208"/>
    </row>
    <row r="107" spans="1:2" s="209" customFormat="1" ht="16.5" customHeight="1" x14ac:dyDescent="0.25">
      <c r="A107" s="207"/>
      <c r="B107" s="208"/>
    </row>
    <row r="108" spans="1:2" s="209" customFormat="1" ht="16.5" customHeight="1" x14ac:dyDescent="0.25">
      <c r="A108" s="207"/>
      <c r="B108" s="208"/>
    </row>
    <row r="109" spans="1:2" s="209" customFormat="1" ht="16.5" customHeight="1" x14ac:dyDescent="0.25">
      <c r="A109" s="207"/>
      <c r="B109" s="208"/>
    </row>
    <row r="110" spans="1:2" s="209" customFormat="1" ht="16.5" customHeight="1" x14ac:dyDescent="0.25">
      <c r="A110" s="207"/>
      <c r="B110" s="208"/>
    </row>
    <row r="111" spans="1:2" s="209" customFormat="1" ht="16.5" customHeight="1" x14ac:dyDescent="0.25">
      <c r="A111" s="207"/>
      <c r="B111" s="208"/>
    </row>
    <row r="112" spans="1:2" s="209" customFormat="1" ht="16.5" customHeight="1" x14ac:dyDescent="0.25">
      <c r="A112" s="207"/>
      <c r="B112" s="208"/>
    </row>
    <row r="113" spans="1:2" s="209" customFormat="1" ht="16.5" customHeight="1" x14ac:dyDescent="0.25">
      <c r="A113" s="207"/>
      <c r="B113" s="208"/>
    </row>
    <row r="114" spans="1:2" s="209" customFormat="1" ht="16.5" customHeight="1" x14ac:dyDescent="0.25">
      <c r="A114" s="207"/>
      <c r="B114" s="208"/>
    </row>
    <row r="115" spans="1:2" s="209" customFormat="1" ht="16.5" customHeight="1" x14ac:dyDescent="0.25">
      <c r="A115" s="207"/>
      <c r="B115" s="208"/>
    </row>
    <row r="116" spans="1:2" s="209" customFormat="1" ht="16.5" customHeight="1" x14ac:dyDescent="0.25">
      <c r="A116" s="207"/>
      <c r="B116" s="208"/>
    </row>
    <row r="117" spans="1:2" s="209" customFormat="1" ht="16.5" customHeight="1" x14ac:dyDescent="0.25">
      <c r="A117" s="207"/>
      <c r="B117" s="208"/>
    </row>
    <row r="118" spans="1:2" s="209" customFormat="1" ht="16.5" customHeight="1" x14ac:dyDescent="0.25">
      <c r="A118" s="207"/>
      <c r="B118" s="208"/>
    </row>
    <row r="119" spans="1:2" s="209" customFormat="1" ht="16.5" customHeight="1" x14ac:dyDescent="0.25">
      <c r="A119" s="207"/>
      <c r="B119" s="208"/>
    </row>
    <row r="120" spans="1:2" s="209" customFormat="1" ht="16.5" customHeight="1" x14ac:dyDescent="0.25">
      <c r="A120" s="207"/>
      <c r="B120" s="208"/>
    </row>
    <row r="121" spans="1:2" s="209" customFormat="1" ht="16.5" customHeight="1" x14ac:dyDescent="0.25">
      <c r="A121" s="207"/>
      <c r="B121" s="208"/>
    </row>
    <row r="122" spans="1:2" s="209" customFormat="1" ht="16.5" customHeight="1" x14ac:dyDescent="0.25">
      <c r="A122" s="207"/>
      <c r="B122" s="208"/>
    </row>
    <row r="123" spans="1:2" s="209" customFormat="1" ht="16.5" customHeight="1" x14ac:dyDescent="0.25">
      <c r="A123" s="207"/>
      <c r="B123" s="208"/>
    </row>
    <row r="124" spans="1:2" s="209" customFormat="1" ht="16.5" customHeight="1" x14ac:dyDescent="0.25">
      <c r="A124" s="207"/>
      <c r="B124" s="208"/>
    </row>
    <row r="125" spans="1:2" s="209" customFormat="1" ht="16.5" customHeight="1" x14ac:dyDescent="0.25">
      <c r="A125" s="207"/>
      <c r="B125" s="208"/>
    </row>
    <row r="126" spans="1:2" s="209" customFormat="1" ht="16.5" customHeight="1" x14ac:dyDescent="0.25">
      <c r="A126" s="207"/>
      <c r="B126" s="208"/>
    </row>
    <row r="127" spans="1:2" s="209" customFormat="1" ht="16.5" customHeight="1" x14ac:dyDescent="0.25">
      <c r="A127" s="207"/>
      <c r="B127" s="208"/>
    </row>
    <row r="128" spans="1:2" s="209" customFormat="1" ht="16.5" customHeight="1" x14ac:dyDescent="0.25">
      <c r="A128" s="207"/>
      <c r="B128" s="208"/>
    </row>
    <row r="129" spans="1:2" s="209" customFormat="1" ht="16.5" customHeight="1" x14ac:dyDescent="0.25">
      <c r="A129" s="207"/>
      <c r="B129" s="208"/>
    </row>
    <row r="130" spans="1:2" s="209" customFormat="1" ht="16.5" customHeight="1" x14ac:dyDescent="0.25">
      <c r="A130" s="207"/>
      <c r="B130" s="208"/>
    </row>
    <row r="131" spans="1:2" s="209" customFormat="1" ht="16.5" customHeight="1" x14ac:dyDescent="0.25">
      <c r="A131" s="207"/>
      <c r="B131" s="208"/>
    </row>
    <row r="132" spans="1:2" s="209" customFormat="1" ht="16.5" customHeight="1" x14ac:dyDescent="0.25">
      <c r="A132" s="207"/>
      <c r="B132" s="208"/>
    </row>
    <row r="133" spans="1:2" s="209" customFormat="1" ht="16.5" customHeight="1" x14ac:dyDescent="0.25">
      <c r="A133" s="207"/>
      <c r="B133" s="208"/>
    </row>
    <row r="134" spans="1:2" s="209" customFormat="1" ht="16.5" customHeight="1" x14ac:dyDescent="0.25">
      <c r="A134" s="207"/>
      <c r="B134" s="208"/>
    </row>
    <row r="135" spans="1:2" s="209" customFormat="1" ht="16.5" customHeight="1" x14ac:dyDescent="0.25">
      <c r="A135" s="207"/>
      <c r="B135" s="208"/>
    </row>
    <row r="136" spans="1:2" s="209" customFormat="1" ht="16.5" customHeight="1" x14ac:dyDescent="0.25">
      <c r="A136" s="207"/>
      <c r="B136" s="208"/>
    </row>
    <row r="137" spans="1:2" s="209" customFormat="1" ht="16.5" customHeight="1" x14ac:dyDescent="0.25">
      <c r="A137" s="207"/>
      <c r="B137" s="208"/>
    </row>
    <row r="138" spans="1:2" s="209" customFormat="1" ht="16.5" customHeight="1" x14ac:dyDescent="0.25">
      <c r="A138" s="207"/>
      <c r="B138" s="208"/>
    </row>
    <row r="139" spans="1:2" s="209" customFormat="1" ht="16.5" customHeight="1" x14ac:dyDescent="0.25">
      <c r="A139" s="207"/>
      <c r="B139" s="208"/>
    </row>
    <row r="140" spans="1:2" s="209" customFormat="1" ht="16.5" customHeight="1" x14ac:dyDescent="0.25">
      <c r="A140" s="207"/>
      <c r="B140" s="208"/>
    </row>
    <row r="141" spans="1:2" s="209" customFormat="1" ht="16.5" customHeight="1" x14ac:dyDescent="0.25">
      <c r="A141" s="207"/>
      <c r="B141" s="208"/>
    </row>
    <row r="142" spans="1:2" s="209" customFormat="1" ht="16.5" customHeight="1" x14ac:dyDescent="0.25">
      <c r="A142" s="207"/>
      <c r="B142" s="208"/>
    </row>
    <row r="143" spans="1:2" s="209" customFormat="1" ht="16.5" customHeight="1" x14ac:dyDescent="0.25">
      <c r="A143" s="207"/>
      <c r="B143" s="208"/>
    </row>
    <row r="144" spans="1:2" s="209" customFormat="1" ht="16.5" customHeight="1" x14ac:dyDescent="0.25">
      <c r="A144" s="207"/>
      <c r="B144" s="208"/>
    </row>
    <row r="145" spans="1:2" s="209" customFormat="1" ht="16.5" customHeight="1" x14ac:dyDescent="0.25">
      <c r="A145" s="207"/>
      <c r="B145" s="208"/>
    </row>
    <row r="146" spans="1:2" s="209" customFormat="1" ht="16.5" customHeight="1" x14ac:dyDescent="0.25">
      <c r="A146" s="207"/>
      <c r="B146" s="208"/>
    </row>
    <row r="147" spans="1:2" s="209" customFormat="1" ht="16.5" customHeight="1" x14ac:dyDescent="0.25">
      <c r="A147" s="207"/>
      <c r="B147" s="208"/>
    </row>
    <row r="148" spans="1:2" s="209" customFormat="1" ht="16.5" customHeight="1" x14ac:dyDescent="0.25">
      <c r="A148" s="207"/>
      <c r="B148" s="208"/>
    </row>
    <row r="149" spans="1:2" s="209" customFormat="1" ht="16.5" customHeight="1" x14ac:dyDescent="0.25">
      <c r="A149" s="207"/>
      <c r="B149" s="208"/>
    </row>
    <row r="150" spans="1:2" s="209" customFormat="1" ht="16.5" customHeight="1" x14ac:dyDescent="0.25">
      <c r="A150" s="207"/>
      <c r="B150" s="208"/>
    </row>
    <row r="151" spans="1:2" s="209" customFormat="1" ht="16.5" customHeight="1" x14ac:dyDescent="0.25">
      <c r="A151" s="207"/>
      <c r="B151" s="208"/>
    </row>
    <row r="152" spans="1:2" s="209" customFormat="1" ht="16.5" customHeight="1" x14ac:dyDescent="0.25">
      <c r="A152" s="207"/>
      <c r="B152" s="208"/>
    </row>
    <row r="153" spans="1:2" s="209" customFormat="1" ht="16.5" customHeight="1" x14ac:dyDescent="0.25">
      <c r="A153" s="207"/>
      <c r="B153" s="208"/>
    </row>
    <row r="154" spans="1:2" s="209" customFormat="1" ht="16.5" customHeight="1" x14ac:dyDescent="0.25">
      <c r="A154" s="207"/>
      <c r="B154" s="208"/>
    </row>
    <row r="155" spans="1:2" s="209" customFormat="1" ht="16.5" customHeight="1" x14ac:dyDescent="0.25">
      <c r="A155" s="207"/>
      <c r="B155" s="208"/>
    </row>
    <row r="156" spans="1:2" s="209" customFormat="1" ht="16.5" customHeight="1" x14ac:dyDescent="0.25">
      <c r="A156" s="207"/>
      <c r="B156" s="208"/>
    </row>
    <row r="157" spans="1:2" s="209" customFormat="1" ht="16.5" customHeight="1" x14ac:dyDescent="0.25">
      <c r="A157" s="207"/>
      <c r="B157" s="208"/>
    </row>
    <row r="158" spans="1:2" s="209" customFormat="1" ht="16.5" customHeight="1" x14ac:dyDescent="0.25">
      <c r="A158" s="207"/>
      <c r="B158" s="208"/>
    </row>
    <row r="159" spans="1:2" s="209" customFormat="1" ht="16.5" customHeight="1" x14ac:dyDescent="0.25">
      <c r="A159" s="207"/>
      <c r="B159" s="208"/>
    </row>
    <row r="160" spans="1:2" s="209" customFormat="1" ht="16.5" customHeight="1" x14ac:dyDescent="0.25">
      <c r="A160" s="207"/>
      <c r="B160" s="208"/>
    </row>
    <row r="161" spans="1:2" s="209" customFormat="1" ht="16.5" customHeight="1" x14ac:dyDescent="0.25">
      <c r="A161" s="207"/>
      <c r="B161" s="208"/>
    </row>
    <row r="162" spans="1:2" s="209" customFormat="1" ht="16.5" customHeight="1" x14ac:dyDescent="0.25">
      <c r="A162" s="207"/>
      <c r="B162" s="208"/>
    </row>
    <row r="163" spans="1:2" s="209" customFormat="1" ht="16.5" customHeight="1" x14ac:dyDescent="0.25">
      <c r="A163" s="207"/>
      <c r="B163" s="208"/>
    </row>
    <row r="164" spans="1:2" s="209" customFormat="1" ht="16.5" customHeight="1" x14ac:dyDescent="0.25">
      <c r="A164" s="207"/>
      <c r="B164" s="208"/>
    </row>
    <row r="165" spans="1:2" s="209" customFormat="1" ht="16.5" customHeight="1" x14ac:dyDescent="0.25">
      <c r="A165" s="207"/>
      <c r="B165" s="208"/>
    </row>
    <row r="166" spans="1:2" s="209" customFormat="1" ht="16.5" customHeight="1" x14ac:dyDescent="0.25">
      <c r="A166" s="207"/>
      <c r="B166" s="208"/>
    </row>
    <row r="167" spans="1:2" s="209" customFormat="1" ht="16.5" customHeight="1" x14ac:dyDescent="0.25">
      <c r="A167" s="207"/>
      <c r="B167" s="208"/>
    </row>
    <row r="168" spans="1:2" s="209" customFormat="1" ht="16.5" customHeight="1" x14ac:dyDescent="0.25">
      <c r="A168" s="207"/>
      <c r="B168" s="208"/>
    </row>
    <row r="169" spans="1:2" s="209" customFormat="1" ht="16.5" customHeight="1" x14ac:dyDescent="0.25">
      <c r="A169" s="207"/>
      <c r="B169" s="208"/>
    </row>
    <row r="170" spans="1:2" s="209" customFormat="1" ht="16.5" customHeight="1" x14ac:dyDescent="0.25">
      <c r="A170" s="207"/>
      <c r="B170" s="208"/>
    </row>
    <row r="171" spans="1:2" s="209" customFormat="1" ht="16.5" customHeight="1" x14ac:dyDescent="0.25">
      <c r="A171" s="207"/>
      <c r="B171" s="208"/>
    </row>
    <row r="172" spans="1:2" s="209" customFormat="1" ht="16.5" customHeight="1" x14ac:dyDescent="0.25">
      <c r="A172" s="207"/>
      <c r="B172" s="208"/>
    </row>
    <row r="173" spans="1:2" s="209" customFormat="1" ht="16.5" customHeight="1" x14ac:dyDescent="0.25">
      <c r="A173" s="207"/>
      <c r="B173" s="208"/>
    </row>
    <row r="174" spans="1:2" s="209" customFormat="1" ht="16.5" customHeight="1" x14ac:dyDescent="0.25">
      <c r="A174" s="207"/>
      <c r="B174" s="208"/>
    </row>
    <row r="175" spans="1:2" s="209" customFormat="1" ht="16.5" customHeight="1" x14ac:dyDescent="0.25">
      <c r="A175" s="207"/>
      <c r="B175" s="208"/>
    </row>
    <row r="176" spans="1:2" s="209" customFormat="1" ht="16.5" customHeight="1" x14ac:dyDescent="0.25">
      <c r="A176" s="207"/>
      <c r="B176" s="208"/>
    </row>
    <row r="177" spans="1:2" s="209" customFormat="1" ht="16.5" customHeight="1" x14ac:dyDescent="0.25">
      <c r="A177" s="207"/>
      <c r="B177" s="208"/>
    </row>
    <row r="178" spans="1:2" s="209" customFormat="1" ht="16.5" customHeight="1" x14ac:dyDescent="0.25">
      <c r="A178" s="207"/>
      <c r="B178" s="208"/>
    </row>
    <row r="179" spans="1:2" s="209" customFormat="1" ht="16.5" customHeight="1" x14ac:dyDescent="0.25">
      <c r="A179" s="207"/>
      <c r="B179" s="208"/>
    </row>
    <row r="180" spans="1:2" s="209" customFormat="1" ht="16.5" customHeight="1" x14ac:dyDescent="0.25">
      <c r="A180" s="207"/>
      <c r="B180" s="208"/>
    </row>
    <row r="181" spans="1:2" s="209" customFormat="1" ht="16.5" customHeight="1" x14ac:dyDescent="0.25">
      <c r="A181" s="207"/>
      <c r="B181" s="208"/>
    </row>
    <row r="182" spans="1:2" s="209" customFormat="1" ht="16.5" customHeight="1" x14ac:dyDescent="0.25">
      <c r="A182" s="207"/>
      <c r="B182" s="208"/>
    </row>
    <row r="183" spans="1:2" s="209" customFormat="1" ht="16.5" customHeight="1" x14ac:dyDescent="0.25">
      <c r="A183" s="207"/>
      <c r="B183" s="208"/>
    </row>
    <row r="184" spans="1:2" s="209" customFormat="1" ht="16.5" customHeight="1" x14ac:dyDescent="0.25">
      <c r="A184" s="207"/>
      <c r="B184" s="208"/>
    </row>
    <row r="185" spans="1:2" s="209" customFormat="1" ht="16.5" customHeight="1" x14ac:dyDescent="0.25">
      <c r="A185" s="207"/>
      <c r="B185" s="208"/>
    </row>
    <row r="186" spans="1:2" s="209" customFormat="1" ht="16.5" customHeight="1" x14ac:dyDescent="0.25">
      <c r="A186" s="207"/>
      <c r="B186" s="208"/>
    </row>
    <row r="187" spans="1:2" s="209" customFormat="1" ht="16.5" customHeight="1" x14ac:dyDescent="0.25">
      <c r="A187" s="207"/>
      <c r="B187" s="208"/>
    </row>
    <row r="188" spans="1:2" s="209" customFormat="1" ht="16.5" customHeight="1" x14ac:dyDescent="0.25">
      <c r="A188" s="207"/>
      <c r="B188" s="208"/>
    </row>
    <row r="189" spans="1:2" s="209" customFormat="1" ht="16.5" customHeight="1" x14ac:dyDescent="0.25">
      <c r="A189" s="207"/>
      <c r="B189" s="208"/>
    </row>
    <row r="190" spans="1:2" s="209" customFormat="1" ht="16.5" customHeight="1" x14ac:dyDescent="0.25">
      <c r="A190" s="207"/>
      <c r="B190" s="208"/>
    </row>
    <row r="191" spans="1:2" s="209" customFormat="1" ht="16.5" customHeight="1" x14ac:dyDescent="0.25">
      <c r="A191" s="207"/>
      <c r="B191" s="208"/>
    </row>
    <row r="192" spans="1:2" s="209" customFormat="1" ht="16.5" customHeight="1" x14ac:dyDescent="0.25">
      <c r="A192" s="207"/>
      <c r="B192" s="208"/>
    </row>
    <row r="193" spans="1:2" s="209" customFormat="1" ht="16.5" customHeight="1" x14ac:dyDescent="0.25">
      <c r="A193" s="207"/>
      <c r="B193" s="208"/>
    </row>
    <row r="194" spans="1:2" s="209" customFormat="1" ht="16.5" customHeight="1" x14ac:dyDescent="0.25">
      <c r="A194" s="207"/>
      <c r="B194" s="208"/>
    </row>
    <row r="195" spans="1:2" s="209" customFormat="1" ht="16.5" customHeight="1" x14ac:dyDescent="0.25">
      <c r="A195" s="207"/>
      <c r="B195" s="208"/>
    </row>
    <row r="196" spans="1:2" s="209" customFormat="1" ht="16.5" customHeight="1" x14ac:dyDescent="0.25">
      <c r="A196" s="207"/>
      <c r="B196" s="208"/>
    </row>
    <row r="197" spans="1:2" s="209" customFormat="1" ht="16.5" customHeight="1" x14ac:dyDescent="0.25">
      <c r="A197" s="207"/>
      <c r="B197" s="208"/>
    </row>
    <row r="198" spans="1:2" s="209" customFormat="1" ht="16.5" customHeight="1" x14ac:dyDescent="0.25">
      <c r="A198" s="207"/>
      <c r="B198" s="208"/>
    </row>
    <row r="199" spans="1:2" s="209" customFormat="1" ht="16.5" customHeight="1" x14ac:dyDescent="0.25">
      <c r="A199" s="207"/>
      <c r="B199" s="208"/>
    </row>
    <row r="200" spans="1:2" s="209" customFormat="1" ht="16.5" customHeight="1" x14ac:dyDescent="0.25">
      <c r="A200" s="207"/>
      <c r="B200" s="208"/>
    </row>
    <row r="201" spans="1:2" s="209" customFormat="1" ht="16.5" customHeight="1" x14ac:dyDescent="0.25">
      <c r="A201" s="207"/>
      <c r="B201" s="208"/>
    </row>
    <row r="202" spans="1:2" s="209" customFormat="1" ht="16.5" customHeight="1" x14ac:dyDescent="0.25">
      <c r="A202" s="207"/>
      <c r="B202" s="208"/>
    </row>
    <row r="203" spans="1:2" s="209" customFormat="1" ht="16.5" customHeight="1" x14ac:dyDescent="0.25">
      <c r="A203" s="207"/>
      <c r="B203" s="208"/>
    </row>
    <row r="204" spans="1:2" s="209" customFormat="1" ht="16.5" customHeight="1" x14ac:dyDescent="0.25">
      <c r="A204" s="207"/>
      <c r="B204" s="208"/>
    </row>
    <row r="205" spans="1:2" s="209" customFormat="1" ht="16.5" customHeight="1" x14ac:dyDescent="0.25">
      <c r="A205" s="207"/>
      <c r="B205" s="208"/>
    </row>
    <row r="206" spans="1:2" s="209" customFormat="1" ht="16.5" customHeight="1" x14ac:dyDescent="0.25">
      <c r="A206" s="207"/>
      <c r="B206" s="208"/>
    </row>
    <row r="207" spans="1:2" s="209" customFormat="1" ht="16.5" customHeight="1" x14ac:dyDescent="0.25">
      <c r="A207" s="207"/>
      <c r="B207" s="208"/>
    </row>
    <row r="208" spans="1:2" s="209" customFormat="1" ht="16.5" customHeight="1" x14ac:dyDescent="0.25">
      <c r="A208" s="207"/>
      <c r="B208" s="208"/>
    </row>
    <row r="209" spans="1:2" s="209" customFormat="1" ht="16.5" customHeight="1" x14ac:dyDescent="0.25">
      <c r="A209" s="207"/>
      <c r="B209" s="208"/>
    </row>
    <row r="210" spans="1:2" s="209" customFormat="1" ht="16.5" customHeight="1" x14ac:dyDescent="0.25">
      <c r="A210" s="207"/>
      <c r="B210" s="208"/>
    </row>
    <row r="211" spans="1:2" s="209" customFormat="1" ht="16.5" customHeight="1" x14ac:dyDescent="0.25">
      <c r="A211" s="207"/>
      <c r="B211" s="208"/>
    </row>
    <row r="212" spans="1:2" s="209" customFormat="1" ht="16.5" customHeight="1" x14ac:dyDescent="0.25">
      <c r="A212" s="207"/>
      <c r="B212" s="208"/>
    </row>
    <row r="213" spans="1:2" s="209" customFormat="1" ht="16.5" customHeight="1" x14ac:dyDescent="0.25">
      <c r="A213" s="207"/>
      <c r="B213" s="208"/>
    </row>
    <row r="214" spans="1:2" s="209" customFormat="1" ht="16.5" customHeight="1" x14ac:dyDescent="0.25">
      <c r="A214" s="207"/>
      <c r="B214" s="208"/>
    </row>
    <row r="215" spans="1:2" s="209" customFormat="1" ht="16.5" customHeight="1" x14ac:dyDescent="0.25">
      <c r="A215" s="207"/>
      <c r="B215" s="208"/>
    </row>
    <row r="216" spans="1:2" s="209" customFormat="1" ht="16.5" customHeight="1" x14ac:dyDescent="0.25">
      <c r="A216" s="207"/>
      <c r="B216" s="208"/>
    </row>
    <row r="217" spans="1:2" s="209" customFormat="1" ht="16.5" customHeight="1" x14ac:dyDescent="0.25">
      <c r="A217" s="207"/>
      <c r="B217" s="208"/>
    </row>
    <row r="218" spans="1:2" s="209" customFormat="1" ht="16.5" customHeight="1" x14ac:dyDescent="0.25">
      <c r="A218" s="207"/>
      <c r="B218" s="208"/>
    </row>
    <row r="219" spans="1:2" s="209" customFormat="1" ht="16.5" customHeight="1" x14ac:dyDescent="0.25">
      <c r="A219" s="207"/>
      <c r="B219" s="208"/>
    </row>
    <row r="220" spans="1:2" s="209" customFormat="1" ht="16.5" customHeight="1" x14ac:dyDescent="0.25">
      <c r="A220" s="207"/>
      <c r="B220" s="208"/>
    </row>
    <row r="221" spans="1:2" s="209" customFormat="1" ht="16.5" customHeight="1" x14ac:dyDescent="0.25">
      <c r="A221" s="207"/>
      <c r="B221" s="208"/>
    </row>
    <row r="222" spans="1:2" s="209" customFormat="1" ht="16.5" customHeight="1" x14ac:dyDescent="0.25">
      <c r="A222" s="207"/>
      <c r="B222" s="208"/>
    </row>
    <row r="223" spans="1:2" s="209" customFormat="1" ht="16.5" customHeight="1" x14ac:dyDescent="0.25">
      <c r="A223" s="207"/>
      <c r="B223" s="208"/>
    </row>
    <row r="224" spans="1:2" s="209" customFormat="1" ht="16.5" customHeight="1" x14ac:dyDescent="0.25">
      <c r="A224" s="207"/>
      <c r="B224" s="208"/>
    </row>
    <row r="225" spans="1:2" s="209" customFormat="1" ht="16.5" customHeight="1" x14ac:dyDescent="0.25">
      <c r="A225" s="207"/>
      <c r="B225" s="208"/>
    </row>
    <row r="226" spans="1:2" s="209" customFormat="1" ht="16.5" customHeight="1" x14ac:dyDescent="0.25">
      <c r="A226" s="207"/>
      <c r="B226" s="208"/>
    </row>
    <row r="227" spans="1:2" s="209" customFormat="1" ht="16.5" customHeight="1" x14ac:dyDescent="0.25">
      <c r="A227" s="207"/>
      <c r="B227" s="208"/>
    </row>
    <row r="228" spans="1:2" s="209" customFormat="1" ht="16.5" customHeight="1" x14ac:dyDescent="0.25">
      <c r="A228" s="207"/>
      <c r="B228" s="208"/>
    </row>
    <row r="229" spans="1:2" s="209" customFormat="1" ht="16.5" customHeight="1" x14ac:dyDescent="0.25">
      <c r="A229" s="207"/>
      <c r="B229" s="208"/>
    </row>
    <row r="230" spans="1:2" s="209" customFormat="1" ht="16.5" customHeight="1" x14ac:dyDescent="0.25">
      <c r="A230" s="207"/>
      <c r="B230" s="208"/>
    </row>
    <row r="231" spans="1:2" s="209" customFormat="1" ht="16.5" customHeight="1" x14ac:dyDescent="0.25">
      <c r="A231" s="207"/>
      <c r="B231" s="208"/>
    </row>
    <row r="232" spans="1:2" s="209" customFormat="1" ht="16.5" customHeight="1" x14ac:dyDescent="0.25">
      <c r="A232" s="207"/>
      <c r="B232" s="208"/>
    </row>
    <row r="233" spans="1:2" s="209" customFormat="1" ht="16.5" customHeight="1" x14ac:dyDescent="0.25">
      <c r="A233" s="207"/>
      <c r="B233" s="208"/>
    </row>
    <row r="234" spans="1:2" s="209" customFormat="1" ht="16.5" customHeight="1" x14ac:dyDescent="0.25">
      <c r="A234" s="207"/>
      <c r="B234" s="208"/>
    </row>
    <row r="235" spans="1:2" s="209" customFormat="1" ht="16.5" customHeight="1" x14ac:dyDescent="0.25">
      <c r="A235" s="207"/>
      <c r="B235" s="208"/>
    </row>
    <row r="236" spans="1:2" s="209" customFormat="1" ht="16.5" customHeight="1" x14ac:dyDescent="0.25">
      <c r="A236" s="207"/>
      <c r="B236" s="208"/>
    </row>
    <row r="237" spans="1:2" s="209" customFormat="1" ht="16.5" customHeight="1" x14ac:dyDescent="0.25">
      <c r="A237" s="207"/>
      <c r="B237" s="208"/>
    </row>
    <row r="238" spans="1:2" s="209" customFormat="1" ht="16.5" customHeight="1" x14ac:dyDescent="0.25">
      <c r="A238" s="207"/>
      <c r="B238" s="208"/>
    </row>
    <row r="239" spans="1:2" s="209" customFormat="1" ht="16.5" customHeight="1" x14ac:dyDescent="0.25">
      <c r="A239" s="207"/>
      <c r="B239" s="208"/>
    </row>
    <row r="240" spans="1:2" s="209" customFormat="1" ht="16.5" customHeight="1" x14ac:dyDescent="0.25">
      <c r="A240" s="207"/>
      <c r="B240" s="208"/>
    </row>
    <row r="241" spans="1:2" s="209" customFormat="1" ht="16.5" customHeight="1" x14ac:dyDescent="0.25">
      <c r="A241" s="207"/>
      <c r="B241" s="208"/>
    </row>
    <row r="242" spans="1:2" s="209" customFormat="1" ht="16.5" customHeight="1" x14ac:dyDescent="0.25">
      <c r="A242" s="207"/>
      <c r="B242" s="208"/>
    </row>
    <row r="243" spans="1:2" s="209" customFormat="1" ht="16.5" customHeight="1" x14ac:dyDescent="0.25">
      <c r="A243" s="207"/>
      <c r="B243" s="208"/>
    </row>
    <row r="244" spans="1:2" s="209" customFormat="1" ht="16.5" customHeight="1" x14ac:dyDescent="0.25">
      <c r="A244" s="207"/>
      <c r="B244" s="208"/>
    </row>
    <row r="245" spans="1:2" s="209" customFormat="1" ht="16.5" customHeight="1" x14ac:dyDescent="0.25">
      <c r="A245" s="207"/>
      <c r="B245" s="208"/>
    </row>
    <row r="246" spans="1:2" s="209" customFormat="1" ht="16.5" customHeight="1" x14ac:dyDescent="0.25">
      <c r="A246" s="207"/>
      <c r="B246" s="208"/>
    </row>
    <row r="247" spans="1:2" s="209" customFormat="1" ht="16.5" customHeight="1" x14ac:dyDescent="0.25">
      <c r="A247" s="207"/>
      <c r="B247" s="208"/>
    </row>
    <row r="248" spans="1:2" s="209" customFormat="1" ht="16.5" customHeight="1" x14ac:dyDescent="0.25">
      <c r="A248" s="207"/>
      <c r="B248" s="208"/>
    </row>
    <row r="249" spans="1:2" s="209" customFormat="1" ht="16.5" customHeight="1" x14ac:dyDescent="0.25">
      <c r="A249" s="207"/>
      <c r="B249" s="208"/>
    </row>
    <row r="250" spans="1:2" s="209" customFormat="1" ht="16.5" customHeight="1" x14ac:dyDescent="0.25">
      <c r="A250" s="207"/>
      <c r="B250" s="208"/>
    </row>
    <row r="251" spans="1:2" s="209" customFormat="1" ht="16.5" customHeight="1" x14ac:dyDescent="0.25">
      <c r="A251" s="207"/>
      <c r="B251" s="208"/>
    </row>
    <row r="252" spans="1:2" s="209" customFormat="1" ht="16.5" customHeight="1" x14ac:dyDescent="0.25">
      <c r="A252" s="207"/>
      <c r="B252" s="208"/>
    </row>
    <row r="253" spans="1:2" s="209" customFormat="1" ht="16.5" customHeight="1" x14ac:dyDescent="0.25">
      <c r="A253" s="207"/>
      <c r="B253" s="208"/>
    </row>
    <row r="254" spans="1:2" s="209" customFormat="1" ht="16.5" customHeight="1" x14ac:dyDescent="0.25">
      <c r="A254" s="207"/>
      <c r="B254" s="208"/>
    </row>
    <row r="255" spans="1:2" s="209" customFormat="1" ht="16.5" customHeight="1" x14ac:dyDescent="0.25">
      <c r="A255" s="207"/>
      <c r="B255" s="208"/>
    </row>
    <row r="256" spans="1:2" s="209" customFormat="1" ht="16.5" customHeight="1" x14ac:dyDescent="0.25">
      <c r="A256" s="207"/>
      <c r="B256" s="208"/>
    </row>
    <row r="257" spans="1:2" s="209" customFormat="1" ht="16.5" customHeight="1" x14ac:dyDescent="0.25">
      <c r="A257" s="207"/>
      <c r="B257" s="208"/>
    </row>
    <row r="258" spans="1:2" s="209" customFormat="1" ht="16.5" customHeight="1" x14ac:dyDescent="0.25">
      <c r="A258" s="207"/>
      <c r="B258" s="208"/>
    </row>
    <row r="259" spans="1:2" s="209" customFormat="1" ht="16.5" customHeight="1" x14ac:dyDescent="0.25">
      <c r="A259" s="207"/>
      <c r="B259" s="208"/>
    </row>
    <row r="260" spans="1:2" s="209" customFormat="1" ht="16.5" customHeight="1" x14ac:dyDescent="0.25">
      <c r="A260" s="207"/>
      <c r="B260" s="208"/>
    </row>
    <row r="261" spans="1:2" s="209" customFormat="1" ht="16.5" customHeight="1" x14ac:dyDescent="0.25">
      <c r="A261" s="207"/>
      <c r="B261" s="208"/>
    </row>
    <row r="262" spans="1:2" s="209" customFormat="1" ht="16.5" customHeight="1" x14ac:dyDescent="0.25">
      <c r="A262" s="207"/>
      <c r="B262" s="208"/>
    </row>
    <row r="263" spans="1:2" s="209" customFormat="1" ht="16.5" customHeight="1" x14ac:dyDescent="0.25">
      <c r="A263" s="207"/>
      <c r="B263" s="208"/>
    </row>
    <row r="264" spans="1:2" s="209" customFormat="1" ht="16.5" customHeight="1" x14ac:dyDescent="0.25">
      <c r="A264" s="207"/>
      <c r="B264" s="208"/>
    </row>
    <row r="265" spans="1:2" s="209" customFormat="1" ht="16.5" customHeight="1" x14ac:dyDescent="0.25">
      <c r="A265" s="207"/>
      <c r="B265" s="208"/>
    </row>
    <row r="266" spans="1:2" s="209" customFormat="1" ht="16.5" customHeight="1" x14ac:dyDescent="0.25">
      <c r="A266" s="207"/>
      <c r="B266" s="208"/>
    </row>
    <row r="267" spans="1:2" s="209" customFormat="1" ht="16.5" customHeight="1" x14ac:dyDescent="0.25">
      <c r="A267" s="207"/>
      <c r="B267" s="208"/>
    </row>
    <row r="268" spans="1:2" s="209" customFormat="1" ht="16.5" customHeight="1" x14ac:dyDescent="0.25">
      <c r="A268" s="207"/>
      <c r="B268" s="208"/>
    </row>
    <row r="269" spans="1:2" s="209" customFormat="1" ht="16.5" customHeight="1" x14ac:dyDescent="0.25">
      <c r="A269" s="207"/>
      <c r="B269" s="208"/>
    </row>
    <row r="270" spans="1:2" s="209" customFormat="1" ht="16.5" customHeight="1" x14ac:dyDescent="0.25">
      <c r="A270" s="207"/>
      <c r="B270" s="208"/>
    </row>
    <row r="271" spans="1:2" s="209" customFormat="1" ht="16.5" customHeight="1" x14ac:dyDescent="0.25">
      <c r="A271" s="207"/>
      <c r="B271" s="208"/>
    </row>
    <row r="272" spans="1:2" s="209" customFormat="1" ht="16.5" customHeight="1" x14ac:dyDescent="0.25">
      <c r="A272" s="207"/>
      <c r="B272" s="208"/>
    </row>
    <row r="273" spans="1:2" s="209" customFormat="1" ht="16.5" customHeight="1" x14ac:dyDescent="0.25">
      <c r="A273" s="207"/>
      <c r="B273" s="208"/>
    </row>
    <row r="274" spans="1:2" s="209" customFormat="1" ht="16.5" customHeight="1" x14ac:dyDescent="0.25">
      <c r="A274" s="207"/>
      <c r="B274" s="208"/>
    </row>
    <row r="275" spans="1:2" s="209" customFormat="1" ht="16.5" customHeight="1" x14ac:dyDescent="0.25">
      <c r="A275" s="207"/>
      <c r="B275" s="208"/>
    </row>
    <row r="276" spans="1:2" s="209" customFormat="1" ht="16.5" customHeight="1" x14ac:dyDescent="0.25">
      <c r="A276" s="207"/>
      <c r="B276" s="208"/>
    </row>
    <row r="277" spans="1:2" s="209" customFormat="1" ht="16.5" customHeight="1" x14ac:dyDescent="0.25">
      <c r="A277" s="207"/>
      <c r="B277" s="208"/>
    </row>
    <row r="278" spans="1:2" s="209" customFormat="1" ht="16.5" customHeight="1" x14ac:dyDescent="0.25">
      <c r="A278" s="207"/>
      <c r="B278" s="208"/>
    </row>
    <row r="279" spans="1:2" s="209" customFormat="1" ht="16.5" customHeight="1" x14ac:dyDescent="0.25">
      <c r="A279" s="207"/>
      <c r="B279" s="208"/>
    </row>
    <row r="280" spans="1:2" s="209" customFormat="1" ht="16.5" customHeight="1" x14ac:dyDescent="0.25">
      <c r="A280" s="207"/>
      <c r="B280" s="208"/>
    </row>
    <row r="281" spans="1:2" s="209" customFormat="1" ht="16.5" customHeight="1" x14ac:dyDescent="0.25">
      <c r="A281" s="207"/>
      <c r="B281" s="208"/>
    </row>
    <row r="282" spans="1:2" s="209" customFormat="1" ht="16.5" customHeight="1" x14ac:dyDescent="0.25">
      <c r="A282" s="207"/>
      <c r="B282" s="208"/>
    </row>
    <row r="283" spans="1:2" s="209" customFormat="1" ht="16.5" customHeight="1" x14ac:dyDescent="0.25">
      <c r="A283" s="207"/>
      <c r="B283" s="208"/>
    </row>
    <row r="284" spans="1:2" s="209" customFormat="1" ht="16.5" customHeight="1" x14ac:dyDescent="0.25">
      <c r="A284" s="207"/>
      <c r="B284" s="208"/>
    </row>
    <row r="285" spans="1:2" s="209" customFormat="1" ht="16.5" customHeight="1" x14ac:dyDescent="0.25">
      <c r="A285" s="207"/>
      <c r="B285" s="208"/>
    </row>
    <row r="286" spans="1:2" s="209" customFormat="1" ht="16.5" customHeight="1" x14ac:dyDescent="0.25">
      <c r="A286" s="207"/>
      <c r="B286" s="208"/>
    </row>
    <row r="287" spans="1:2" s="209" customFormat="1" ht="16.5" customHeight="1" x14ac:dyDescent="0.25">
      <c r="A287" s="207"/>
      <c r="B287" s="208"/>
    </row>
    <row r="288" spans="1:2" s="209" customFormat="1" ht="16.5" customHeight="1" x14ac:dyDescent="0.25">
      <c r="A288" s="207"/>
      <c r="B288" s="208"/>
    </row>
    <row r="289" spans="1:2" s="209" customFormat="1" ht="16.5" customHeight="1" x14ac:dyDescent="0.25">
      <c r="A289" s="207"/>
      <c r="B289" s="208"/>
    </row>
    <row r="290" spans="1:2" s="209" customFormat="1" ht="16.5" customHeight="1" x14ac:dyDescent="0.25">
      <c r="A290" s="207"/>
      <c r="B290" s="208"/>
    </row>
    <row r="291" spans="1:2" s="209" customFormat="1" ht="16.5" customHeight="1" x14ac:dyDescent="0.25">
      <c r="A291" s="207"/>
      <c r="B291" s="208"/>
    </row>
    <row r="292" spans="1:2" s="209" customFormat="1" ht="16.5" customHeight="1" x14ac:dyDescent="0.25">
      <c r="A292" s="207"/>
      <c r="B292" s="208"/>
    </row>
    <row r="293" spans="1:2" s="209" customFormat="1" ht="16.5" customHeight="1" x14ac:dyDescent="0.25">
      <c r="A293" s="207"/>
      <c r="B293" s="208"/>
    </row>
    <row r="294" spans="1:2" s="209" customFormat="1" ht="16.5" customHeight="1" x14ac:dyDescent="0.25">
      <c r="A294" s="207"/>
      <c r="B294" s="208"/>
    </row>
    <row r="295" spans="1:2" s="209" customFormat="1" ht="16.5" customHeight="1" x14ac:dyDescent="0.25">
      <c r="A295" s="207"/>
      <c r="B295" s="208"/>
    </row>
    <row r="296" spans="1:2" s="209" customFormat="1" ht="16.5" customHeight="1" x14ac:dyDescent="0.25">
      <c r="A296" s="207"/>
      <c r="B296" s="208"/>
    </row>
    <row r="297" spans="1:2" s="209" customFormat="1" ht="16.5" customHeight="1" x14ac:dyDescent="0.25">
      <c r="A297" s="207"/>
      <c r="B297" s="208"/>
    </row>
    <row r="298" spans="1:2" s="209" customFormat="1" ht="16.5" customHeight="1" x14ac:dyDescent="0.25">
      <c r="A298" s="207"/>
      <c r="B298" s="208"/>
    </row>
    <row r="299" spans="1:2" s="209" customFormat="1" ht="16.5" customHeight="1" x14ac:dyDescent="0.25">
      <c r="A299" s="207"/>
      <c r="B299" s="208"/>
    </row>
    <row r="300" spans="1:2" s="209" customFormat="1" ht="16.5" customHeight="1" x14ac:dyDescent="0.25">
      <c r="A300" s="207"/>
      <c r="B300" s="208"/>
    </row>
    <row r="301" spans="1:2" s="209" customFormat="1" ht="16.5" customHeight="1" x14ac:dyDescent="0.25">
      <c r="A301" s="207"/>
      <c r="B301" s="208"/>
    </row>
    <row r="302" spans="1:2" s="209" customFormat="1" ht="16.5" customHeight="1" x14ac:dyDescent="0.25">
      <c r="A302" s="207"/>
      <c r="B302" s="208"/>
    </row>
    <row r="303" spans="1:2" s="209" customFormat="1" ht="16.5" customHeight="1" x14ac:dyDescent="0.25">
      <c r="A303" s="207"/>
      <c r="B303" s="208"/>
    </row>
    <row r="304" spans="1:2" s="209" customFormat="1" ht="16.5" customHeight="1" x14ac:dyDescent="0.25">
      <c r="A304" s="207"/>
      <c r="B304" s="208"/>
    </row>
    <row r="305" spans="1:2" s="209" customFormat="1" ht="16.5" customHeight="1" x14ac:dyDescent="0.25">
      <c r="A305" s="207"/>
      <c r="B305" s="208"/>
    </row>
    <row r="306" spans="1:2" s="209" customFormat="1" ht="16.5" customHeight="1" x14ac:dyDescent="0.25">
      <c r="A306" s="207"/>
      <c r="B306" s="208"/>
    </row>
    <row r="307" spans="1:2" s="209" customFormat="1" ht="16.5" customHeight="1" x14ac:dyDescent="0.25">
      <c r="A307" s="207"/>
      <c r="B307" s="208"/>
    </row>
    <row r="308" spans="1:2" s="209" customFormat="1" ht="16.5" customHeight="1" x14ac:dyDescent="0.25">
      <c r="A308" s="207"/>
      <c r="B308" s="208"/>
    </row>
    <row r="309" spans="1:2" s="209" customFormat="1" ht="16.5" customHeight="1" x14ac:dyDescent="0.25">
      <c r="A309" s="207"/>
      <c r="B309" s="208"/>
    </row>
    <row r="310" spans="1:2" s="209" customFormat="1" ht="16.5" customHeight="1" x14ac:dyDescent="0.25">
      <c r="A310" s="207"/>
      <c r="B310" s="208"/>
    </row>
    <row r="311" spans="1:2" s="209" customFormat="1" ht="16.5" customHeight="1" x14ac:dyDescent="0.25">
      <c r="A311" s="207"/>
      <c r="B311" s="208"/>
    </row>
    <row r="312" spans="1:2" s="209" customFormat="1" ht="16.5" customHeight="1" x14ac:dyDescent="0.25">
      <c r="A312" s="207"/>
      <c r="B312" s="208"/>
    </row>
    <row r="313" spans="1:2" s="209" customFormat="1" ht="16.5" customHeight="1" x14ac:dyDescent="0.25">
      <c r="A313" s="207"/>
      <c r="B313" s="208"/>
    </row>
    <row r="314" spans="1:2" s="209" customFormat="1" ht="16.5" customHeight="1" x14ac:dyDescent="0.25">
      <c r="A314" s="207"/>
      <c r="B314" s="208"/>
    </row>
    <row r="315" spans="1:2" s="209" customFormat="1" ht="16.5" customHeight="1" x14ac:dyDescent="0.25">
      <c r="A315" s="207"/>
      <c r="B315" s="208"/>
    </row>
    <row r="316" spans="1:2" s="209" customFormat="1" ht="16.5" customHeight="1" x14ac:dyDescent="0.25">
      <c r="A316" s="207"/>
      <c r="B316" s="208"/>
    </row>
    <row r="317" spans="1:2" s="209" customFormat="1" ht="16.5" customHeight="1" x14ac:dyDescent="0.25">
      <c r="A317" s="207"/>
      <c r="B317" s="208"/>
    </row>
    <row r="318" spans="1:2" s="209" customFormat="1" ht="16.5" customHeight="1" x14ac:dyDescent="0.25">
      <c r="A318" s="207"/>
      <c r="B318" s="208"/>
    </row>
    <row r="319" spans="1:2" s="209" customFormat="1" ht="16.5" customHeight="1" x14ac:dyDescent="0.25">
      <c r="A319" s="207"/>
      <c r="B319" s="208"/>
    </row>
    <row r="320" spans="1:2" s="209" customFormat="1" ht="16.5" customHeight="1" x14ac:dyDescent="0.25">
      <c r="A320" s="207"/>
      <c r="B320" s="208"/>
    </row>
    <row r="321" spans="1:2" s="209" customFormat="1" ht="16.5" customHeight="1" x14ac:dyDescent="0.25">
      <c r="A321" s="207"/>
      <c r="B321" s="208"/>
    </row>
    <row r="322" spans="1:2" s="209" customFormat="1" ht="16.5" customHeight="1" x14ac:dyDescent="0.25">
      <c r="A322" s="207"/>
      <c r="B322" s="208"/>
    </row>
    <row r="323" spans="1:2" s="209" customFormat="1" ht="16.5" customHeight="1" x14ac:dyDescent="0.25">
      <c r="A323" s="207"/>
      <c r="B323" s="208"/>
    </row>
    <row r="324" spans="1:2" s="209" customFormat="1" ht="16.5" customHeight="1" x14ac:dyDescent="0.25">
      <c r="A324" s="207"/>
      <c r="B324" s="208"/>
    </row>
    <row r="325" spans="1:2" s="209" customFormat="1" ht="16.5" customHeight="1" x14ac:dyDescent="0.25">
      <c r="A325" s="207"/>
      <c r="B325" s="208"/>
    </row>
    <row r="326" spans="1:2" s="209" customFormat="1" ht="16.5" customHeight="1" x14ac:dyDescent="0.25">
      <c r="A326" s="207"/>
      <c r="B326" s="208"/>
    </row>
    <row r="327" spans="1:2" s="209" customFormat="1" ht="16.5" customHeight="1" x14ac:dyDescent="0.25">
      <c r="A327" s="207"/>
      <c r="B327" s="208"/>
    </row>
    <row r="328" spans="1:2" s="209" customFormat="1" ht="16.5" customHeight="1" x14ac:dyDescent="0.25">
      <c r="A328" s="207"/>
      <c r="B328" s="208"/>
    </row>
    <row r="329" spans="1:2" s="209" customFormat="1" ht="16.5" customHeight="1" x14ac:dyDescent="0.25">
      <c r="A329" s="207"/>
      <c r="B329" s="208"/>
    </row>
    <row r="330" spans="1:2" s="209" customFormat="1" ht="16.5" customHeight="1" x14ac:dyDescent="0.25">
      <c r="A330" s="207"/>
      <c r="B330" s="208"/>
    </row>
    <row r="331" spans="1:2" s="209" customFormat="1" ht="16.5" customHeight="1" x14ac:dyDescent="0.25">
      <c r="A331" s="207"/>
      <c r="B331" s="208"/>
    </row>
    <row r="332" spans="1:2" s="209" customFormat="1" ht="16.5" customHeight="1" x14ac:dyDescent="0.25">
      <c r="A332" s="207"/>
      <c r="B332" s="208"/>
    </row>
    <row r="333" spans="1:2" s="209" customFormat="1" ht="16.5" customHeight="1" x14ac:dyDescent="0.25">
      <c r="A333" s="207"/>
      <c r="B333" s="208"/>
    </row>
    <row r="334" spans="1:2" s="209" customFormat="1" ht="16.5" customHeight="1" x14ac:dyDescent="0.25">
      <c r="A334" s="207"/>
      <c r="B334" s="208"/>
    </row>
    <row r="335" spans="1:2" s="209" customFormat="1" ht="16.5" customHeight="1" x14ac:dyDescent="0.25">
      <c r="A335" s="207"/>
      <c r="B335" s="208"/>
    </row>
    <row r="336" spans="1:2" s="209" customFormat="1" ht="16.5" customHeight="1" x14ac:dyDescent="0.25">
      <c r="A336" s="207"/>
      <c r="B336" s="208"/>
    </row>
    <row r="337" spans="1:2" s="209" customFormat="1" ht="16.5" customHeight="1" x14ac:dyDescent="0.25">
      <c r="A337" s="207"/>
      <c r="B337" s="208"/>
    </row>
    <row r="338" spans="1:2" s="209" customFormat="1" ht="16.5" customHeight="1" x14ac:dyDescent="0.25">
      <c r="A338" s="207"/>
      <c r="B338" s="208"/>
    </row>
    <row r="339" spans="1:2" s="209" customFormat="1" ht="16.5" customHeight="1" x14ac:dyDescent="0.25">
      <c r="A339" s="207"/>
      <c r="B339" s="208"/>
    </row>
    <row r="340" spans="1:2" s="209" customFormat="1" ht="16.5" customHeight="1" x14ac:dyDescent="0.25">
      <c r="A340" s="207"/>
      <c r="B340" s="208"/>
    </row>
    <row r="341" spans="1:2" s="209" customFormat="1" ht="16.5" customHeight="1" x14ac:dyDescent="0.25">
      <c r="A341" s="207"/>
      <c r="B341" s="208"/>
    </row>
    <row r="342" spans="1:2" s="209" customFormat="1" ht="16.5" customHeight="1" x14ac:dyDescent="0.25">
      <c r="A342" s="207"/>
      <c r="B342" s="208"/>
    </row>
    <row r="343" spans="1:2" s="209" customFormat="1" ht="16.5" customHeight="1" x14ac:dyDescent="0.25">
      <c r="A343" s="207"/>
      <c r="B343" s="208"/>
    </row>
    <row r="344" spans="1:2" s="209" customFormat="1" ht="16.5" customHeight="1" x14ac:dyDescent="0.25">
      <c r="A344" s="207"/>
      <c r="B344" s="208"/>
    </row>
    <row r="345" spans="1:2" s="209" customFormat="1" ht="16.5" customHeight="1" x14ac:dyDescent="0.25">
      <c r="A345" s="207"/>
      <c r="B345" s="208"/>
    </row>
    <row r="346" spans="1:2" s="209" customFormat="1" ht="16.5" customHeight="1" x14ac:dyDescent="0.25">
      <c r="A346" s="207"/>
      <c r="B346" s="208"/>
    </row>
    <row r="347" spans="1:2" s="209" customFormat="1" ht="16.5" customHeight="1" x14ac:dyDescent="0.25">
      <c r="A347" s="207"/>
      <c r="B347" s="208"/>
    </row>
    <row r="348" spans="1:2" s="209" customFormat="1" ht="16.5" customHeight="1" x14ac:dyDescent="0.25">
      <c r="A348" s="207"/>
      <c r="B348" s="208"/>
    </row>
    <row r="349" spans="1:2" s="209" customFormat="1" ht="16.5" customHeight="1" x14ac:dyDescent="0.25">
      <c r="A349" s="207"/>
      <c r="B349" s="208"/>
    </row>
    <row r="350" spans="1:2" s="209" customFormat="1" ht="16.5" customHeight="1" x14ac:dyDescent="0.25">
      <c r="A350" s="207"/>
      <c r="B350" s="208"/>
    </row>
    <row r="351" spans="1:2" s="209" customFormat="1" ht="16.5" customHeight="1" x14ac:dyDescent="0.25">
      <c r="A351" s="207"/>
      <c r="B351" s="208"/>
    </row>
    <row r="352" spans="1:2" s="209" customFormat="1" ht="16.5" customHeight="1" x14ac:dyDescent="0.25">
      <c r="A352" s="207"/>
      <c r="B352" s="208"/>
    </row>
    <row r="353" spans="1:2" s="209" customFormat="1" ht="16.5" customHeight="1" x14ac:dyDescent="0.25">
      <c r="A353" s="207"/>
      <c r="B353" s="208"/>
    </row>
    <row r="354" spans="1:2" s="209" customFormat="1" ht="16.5" customHeight="1" x14ac:dyDescent="0.25">
      <c r="A354" s="207"/>
      <c r="B354" s="208"/>
    </row>
    <row r="355" spans="1:2" s="209" customFormat="1" ht="16.5" customHeight="1" x14ac:dyDescent="0.25">
      <c r="A355" s="207"/>
      <c r="B355" s="208"/>
    </row>
    <row r="356" spans="1:2" s="209" customFormat="1" ht="16.5" customHeight="1" x14ac:dyDescent="0.25">
      <c r="A356" s="207"/>
      <c r="B356" s="208"/>
    </row>
    <row r="357" spans="1:2" s="209" customFormat="1" ht="16.5" customHeight="1" x14ac:dyDescent="0.25">
      <c r="A357" s="207"/>
      <c r="B357" s="208"/>
    </row>
    <row r="358" spans="1:2" s="209" customFormat="1" ht="16.5" customHeight="1" x14ac:dyDescent="0.25">
      <c r="A358" s="207"/>
      <c r="B358" s="208"/>
    </row>
    <row r="359" spans="1:2" s="209" customFormat="1" ht="16.5" customHeight="1" x14ac:dyDescent="0.25">
      <c r="A359" s="207"/>
      <c r="B359" s="208"/>
    </row>
    <row r="360" spans="1:2" s="209" customFormat="1" ht="16.5" customHeight="1" x14ac:dyDescent="0.25">
      <c r="A360" s="207"/>
      <c r="B360" s="208"/>
    </row>
    <row r="361" spans="1:2" s="209" customFormat="1" ht="16.5" customHeight="1" x14ac:dyDescent="0.25">
      <c r="A361" s="207"/>
      <c r="B361" s="208"/>
    </row>
    <row r="362" spans="1:2" s="209" customFormat="1" ht="16.5" customHeight="1" x14ac:dyDescent="0.25">
      <c r="A362" s="207"/>
      <c r="B362" s="208"/>
    </row>
    <row r="363" spans="1:2" s="209" customFormat="1" ht="16.5" customHeight="1" x14ac:dyDescent="0.25">
      <c r="A363" s="207"/>
      <c r="B363" s="208"/>
    </row>
    <row r="364" spans="1:2" s="209" customFormat="1" ht="16.5" customHeight="1" x14ac:dyDescent="0.25">
      <c r="A364" s="207"/>
      <c r="B364" s="208"/>
    </row>
    <row r="365" spans="1:2" s="209" customFormat="1" ht="16.5" customHeight="1" x14ac:dyDescent="0.25">
      <c r="A365" s="207"/>
      <c r="B365" s="208"/>
    </row>
    <row r="366" spans="1:2" s="209" customFormat="1" ht="16.5" customHeight="1" x14ac:dyDescent="0.25">
      <c r="A366" s="207"/>
      <c r="B366" s="208"/>
    </row>
    <row r="367" spans="1:2" s="209" customFormat="1" ht="16.5" customHeight="1" x14ac:dyDescent="0.25">
      <c r="A367" s="207"/>
      <c r="B367" s="208"/>
    </row>
    <row r="368" spans="1:2" s="209" customFormat="1" ht="16.5" customHeight="1" x14ac:dyDescent="0.25">
      <c r="A368" s="207"/>
      <c r="B368" s="208"/>
    </row>
    <row r="369" spans="1:2" s="209" customFormat="1" ht="16.5" customHeight="1" x14ac:dyDescent="0.25">
      <c r="A369" s="207"/>
      <c r="B369" s="208"/>
    </row>
    <row r="370" spans="1:2" s="209" customFormat="1" ht="16.5" customHeight="1" x14ac:dyDescent="0.25">
      <c r="A370" s="207"/>
      <c r="B370" s="208"/>
    </row>
    <row r="371" spans="1:2" s="209" customFormat="1" ht="16.5" customHeight="1" x14ac:dyDescent="0.25">
      <c r="A371" s="207"/>
      <c r="B371" s="208"/>
    </row>
    <row r="372" spans="1:2" s="209" customFormat="1" ht="16.5" customHeight="1" x14ac:dyDescent="0.25">
      <c r="A372" s="207"/>
      <c r="B372" s="208"/>
    </row>
    <row r="373" spans="1:2" s="209" customFormat="1" ht="16.5" customHeight="1" x14ac:dyDescent="0.25">
      <c r="A373" s="207"/>
      <c r="B373" s="208"/>
    </row>
    <row r="374" spans="1:2" s="209" customFormat="1" ht="16.5" customHeight="1" x14ac:dyDescent="0.25">
      <c r="A374" s="207"/>
      <c r="B374" s="208"/>
    </row>
    <row r="375" spans="1:2" s="209" customFormat="1" ht="16.5" customHeight="1" x14ac:dyDescent="0.25">
      <c r="A375" s="207"/>
      <c r="B375" s="208"/>
    </row>
    <row r="376" spans="1:2" s="209" customFormat="1" ht="16.5" customHeight="1" x14ac:dyDescent="0.25">
      <c r="A376" s="207"/>
      <c r="B376" s="208"/>
    </row>
    <row r="377" spans="1:2" s="209" customFormat="1" ht="16.5" customHeight="1" x14ac:dyDescent="0.25">
      <c r="A377" s="207"/>
      <c r="B377" s="208"/>
    </row>
    <row r="378" spans="1:2" s="209" customFormat="1" ht="16.5" customHeight="1" x14ac:dyDescent="0.25">
      <c r="A378" s="207"/>
      <c r="B378" s="208"/>
    </row>
    <row r="379" spans="1:2" s="209" customFormat="1" ht="16.5" customHeight="1" x14ac:dyDescent="0.25">
      <c r="A379" s="207"/>
      <c r="B379" s="208"/>
    </row>
    <row r="380" spans="1:2" s="209" customFormat="1" ht="16.5" customHeight="1" x14ac:dyDescent="0.25">
      <c r="A380" s="207"/>
      <c r="B380" s="208"/>
    </row>
    <row r="381" spans="1:2" s="209" customFormat="1" ht="16.5" customHeight="1" x14ac:dyDescent="0.25">
      <c r="A381" s="207"/>
      <c r="B381" s="208"/>
    </row>
    <row r="382" spans="1:2" s="209" customFormat="1" ht="16.5" customHeight="1" x14ac:dyDescent="0.25">
      <c r="A382" s="207"/>
      <c r="B382" s="208"/>
    </row>
    <row r="383" spans="1:2" s="209" customFormat="1" ht="16.5" customHeight="1" x14ac:dyDescent="0.25">
      <c r="A383" s="207"/>
      <c r="B383" s="208"/>
    </row>
    <row r="384" spans="1:2" s="209" customFormat="1" ht="16.5" customHeight="1" x14ac:dyDescent="0.25">
      <c r="A384" s="207"/>
      <c r="B384" s="208"/>
    </row>
    <row r="385" spans="1:2" s="209" customFormat="1" ht="16.5" customHeight="1" x14ac:dyDescent="0.25">
      <c r="A385" s="207"/>
      <c r="B385" s="208"/>
    </row>
    <row r="386" spans="1:2" s="209" customFormat="1" ht="16.5" customHeight="1" x14ac:dyDescent="0.25">
      <c r="A386" s="207"/>
      <c r="B386" s="208"/>
    </row>
    <row r="387" spans="1:2" s="209" customFormat="1" ht="16.5" customHeight="1" x14ac:dyDescent="0.25">
      <c r="A387" s="207"/>
      <c r="B387" s="208"/>
    </row>
    <row r="388" spans="1:2" s="209" customFormat="1" ht="16.5" customHeight="1" x14ac:dyDescent="0.25">
      <c r="A388" s="207"/>
      <c r="B388" s="208"/>
    </row>
    <row r="389" spans="1:2" s="209" customFormat="1" ht="16.5" customHeight="1" x14ac:dyDescent="0.25">
      <c r="A389" s="207"/>
      <c r="B389" s="208"/>
    </row>
    <row r="390" spans="1:2" s="209" customFormat="1" ht="16.5" customHeight="1" x14ac:dyDescent="0.25">
      <c r="A390" s="207"/>
      <c r="B390" s="208"/>
    </row>
    <row r="391" spans="1:2" s="209" customFormat="1" ht="16.5" customHeight="1" x14ac:dyDescent="0.25">
      <c r="A391" s="207"/>
      <c r="B391" s="208"/>
    </row>
    <row r="392" spans="1:2" s="209" customFormat="1" ht="16.5" customHeight="1" x14ac:dyDescent="0.25">
      <c r="A392" s="207"/>
      <c r="B392" s="208"/>
    </row>
    <row r="393" spans="1:2" s="209" customFormat="1" ht="16.5" customHeight="1" x14ac:dyDescent="0.25">
      <c r="A393" s="207"/>
      <c r="B393" s="208"/>
    </row>
    <row r="394" spans="1:2" s="209" customFormat="1" ht="16.5" customHeight="1" x14ac:dyDescent="0.25">
      <c r="A394" s="207"/>
      <c r="B394" s="208"/>
    </row>
    <row r="395" spans="1:2" s="209" customFormat="1" ht="16.5" customHeight="1" x14ac:dyDescent="0.25">
      <c r="A395" s="207"/>
      <c r="B395" s="208"/>
    </row>
    <row r="396" spans="1:2" s="209" customFormat="1" ht="16.5" customHeight="1" x14ac:dyDescent="0.25">
      <c r="A396" s="207"/>
      <c r="B396" s="208"/>
    </row>
    <row r="397" spans="1:2" s="209" customFormat="1" ht="16.5" customHeight="1" x14ac:dyDescent="0.25">
      <c r="A397" s="207"/>
      <c r="B397" s="208"/>
    </row>
    <row r="398" spans="1:2" s="209" customFormat="1" ht="16.5" customHeight="1" x14ac:dyDescent="0.25">
      <c r="A398" s="207"/>
      <c r="B398" s="208"/>
    </row>
    <row r="399" spans="1:2" s="209" customFormat="1" ht="16.5" customHeight="1" x14ac:dyDescent="0.25">
      <c r="A399" s="207"/>
      <c r="B399" s="208"/>
    </row>
    <row r="400" spans="1:2" s="209" customFormat="1" ht="16.5" customHeight="1" x14ac:dyDescent="0.25">
      <c r="A400" s="207"/>
      <c r="B400" s="208"/>
    </row>
    <row r="401" spans="1:2" s="209" customFormat="1" ht="16.5" customHeight="1" x14ac:dyDescent="0.25">
      <c r="A401" s="207"/>
      <c r="B401" s="208"/>
    </row>
    <row r="402" spans="1:2" s="209" customFormat="1" ht="16.5" customHeight="1" x14ac:dyDescent="0.25">
      <c r="A402" s="207"/>
      <c r="B402" s="208"/>
    </row>
    <row r="403" spans="1:2" s="209" customFormat="1" ht="16.5" customHeight="1" x14ac:dyDescent="0.25">
      <c r="A403" s="207"/>
      <c r="B403" s="208"/>
    </row>
    <row r="404" spans="1:2" s="209" customFormat="1" ht="16.5" customHeight="1" x14ac:dyDescent="0.25">
      <c r="A404" s="207"/>
      <c r="B404" s="208"/>
    </row>
    <row r="405" spans="1:2" s="209" customFormat="1" ht="16.5" customHeight="1" x14ac:dyDescent="0.25">
      <c r="A405" s="207"/>
      <c r="B405" s="208"/>
    </row>
    <row r="406" spans="1:2" s="209" customFormat="1" ht="16.5" customHeight="1" x14ac:dyDescent="0.25">
      <c r="A406" s="207"/>
      <c r="B406" s="208"/>
    </row>
    <row r="407" spans="1:2" s="209" customFormat="1" ht="16.5" customHeight="1" x14ac:dyDescent="0.25">
      <c r="A407" s="207"/>
      <c r="B407" s="208"/>
    </row>
    <row r="408" spans="1:2" s="209" customFormat="1" ht="16.5" customHeight="1" x14ac:dyDescent="0.25">
      <c r="A408" s="207"/>
      <c r="B408" s="208"/>
    </row>
    <row r="409" spans="1:2" s="209" customFormat="1" ht="16.5" customHeight="1" x14ac:dyDescent="0.25">
      <c r="A409" s="207"/>
      <c r="B409" s="208"/>
    </row>
    <row r="410" spans="1:2" s="209" customFormat="1" ht="16.5" customHeight="1" x14ac:dyDescent="0.25">
      <c r="A410" s="207"/>
      <c r="B410" s="208"/>
    </row>
    <row r="411" spans="1:2" s="209" customFormat="1" ht="16.5" customHeight="1" x14ac:dyDescent="0.25">
      <c r="A411" s="207"/>
      <c r="B411" s="208"/>
    </row>
    <row r="412" spans="1:2" s="209" customFormat="1" ht="16.5" customHeight="1" x14ac:dyDescent="0.25">
      <c r="A412" s="207"/>
      <c r="B412" s="208"/>
    </row>
    <row r="413" spans="1:2" s="209" customFormat="1" ht="16.5" customHeight="1" x14ac:dyDescent="0.25">
      <c r="A413" s="207"/>
      <c r="B413" s="208"/>
    </row>
    <row r="414" spans="1:2" s="209" customFormat="1" ht="16.5" customHeight="1" x14ac:dyDescent="0.25">
      <c r="A414" s="207"/>
      <c r="B414" s="208"/>
    </row>
    <row r="415" spans="1:2" s="209" customFormat="1" ht="16.5" customHeight="1" x14ac:dyDescent="0.25">
      <c r="A415" s="207"/>
      <c r="B415" s="208"/>
    </row>
    <row r="416" spans="1:2" s="209" customFormat="1" ht="16.5" customHeight="1" x14ac:dyDescent="0.25">
      <c r="A416" s="207"/>
      <c r="B416" s="208"/>
    </row>
    <row r="417" spans="1:2" s="209" customFormat="1" ht="16.5" customHeight="1" x14ac:dyDescent="0.25">
      <c r="A417" s="207"/>
      <c r="B417" s="208"/>
    </row>
    <row r="418" spans="1:2" s="209" customFormat="1" ht="16.5" customHeight="1" x14ac:dyDescent="0.25">
      <c r="A418" s="207"/>
      <c r="B418" s="208"/>
    </row>
    <row r="419" spans="1:2" s="209" customFormat="1" ht="16.5" customHeight="1" x14ac:dyDescent="0.25">
      <c r="A419" s="207"/>
      <c r="B419" s="208"/>
    </row>
    <row r="420" spans="1:2" s="209" customFormat="1" ht="16.5" customHeight="1" x14ac:dyDescent="0.25">
      <c r="A420" s="207"/>
      <c r="B420" s="208"/>
    </row>
    <row r="421" spans="1:2" s="209" customFormat="1" ht="16.5" customHeight="1" x14ac:dyDescent="0.25">
      <c r="A421" s="207"/>
      <c r="B421" s="208"/>
    </row>
    <row r="422" spans="1:2" s="209" customFormat="1" ht="16.5" customHeight="1" x14ac:dyDescent="0.25">
      <c r="A422" s="207"/>
      <c r="B422" s="208"/>
    </row>
    <row r="423" spans="1:2" s="209" customFormat="1" ht="16.5" customHeight="1" x14ac:dyDescent="0.25">
      <c r="A423" s="207"/>
      <c r="B423" s="208"/>
    </row>
    <row r="424" spans="1:2" s="209" customFormat="1" ht="16.5" customHeight="1" x14ac:dyDescent="0.25">
      <c r="A424" s="207"/>
      <c r="B424" s="208"/>
    </row>
    <row r="425" spans="1:2" s="209" customFormat="1" ht="16.5" customHeight="1" x14ac:dyDescent="0.25">
      <c r="A425" s="207"/>
      <c r="B425" s="208"/>
    </row>
    <row r="426" spans="1:2" s="209" customFormat="1" ht="16.5" customHeight="1" x14ac:dyDescent="0.25">
      <c r="A426" s="207"/>
      <c r="B426" s="208"/>
    </row>
    <row r="427" spans="1:2" s="209" customFormat="1" ht="16.5" customHeight="1" x14ac:dyDescent="0.25">
      <c r="A427" s="207"/>
      <c r="B427" s="208"/>
    </row>
    <row r="428" spans="1:2" s="209" customFormat="1" ht="16.5" customHeight="1" x14ac:dyDescent="0.25">
      <c r="A428" s="207"/>
      <c r="B428" s="208"/>
    </row>
    <row r="429" spans="1:2" s="209" customFormat="1" ht="16.5" customHeight="1" x14ac:dyDescent="0.25">
      <c r="A429" s="207"/>
      <c r="B429" s="208"/>
    </row>
    <row r="430" spans="1:2" s="209" customFormat="1" ht="16.5" customHeight="1" x14ac:dyDescent="0.25">
      <c r="A430" s="207"/>
      <c r="B430" s="208"/>
    </row>
    <row r="431" spans="1:2" s="209" customFormat="1" ht="16.5" customHeight="1" x14ac:dyDescent="0.25">
      <c r="A431" s="207"/>
      <c r="B431" s="208"/>
    </row>
    <row r="432" spans="1:2" s="209" customFormat="1" ht="16.5" customHeight="1" x14ac:dyDescent="0.25">
      <c r="A432" s="207"/>
      <c r="B432" s="208"/>
    </row>
    <row r="433" spans="1:2" s="209" customFormat="1" ht="16.5" customHeight="1" x14ac:dyDescent="0.25">
      <c r="A433" s="207"/>
      <c r="B433" s="208"/>
    </row>
    <row r="434" spans="1:2" s="209" customFormat="1" ht="16.5" customHeight="1" x14ac:dyDescent="0.25">
      <c r="A434" s="207"/>
      <c r="B434" s="208"/>
    </row>
    <row r="435" spans="1:2" s="209" customFormat="1" ht="16.5" customHeight="1" x14ac:dyDescent="0.25">
      <c r="A435" s="207"/>
      <c r="B435" s="208"/>
    </row>
    <row r="436" spans="1:2" s="209" customFormat="1" ht="16.5" customHeight="1" x14ac:dyDescent="0.25">
      <c r="A436" s="207"/>
      <c r="B436" s="208"/>
    </row>
    <row r="437" spans="1:2" s="209" customFormat="1" ht="16.5" customHeight="1" x14ac:dyDescent="0.25">
      <c r="A437" s="207"/>
      <c r="B437" s="208"/>
    </row>
    <row r="438" spans="1:2" s="209" customFormat="1" ht="16.5" customHeight="1" x14ac:dyDescent="0.25">
      <c r="A438" s="207"/>
      <c r="B438" s="208"/>
    </row>
    <row r="439" spans="1:2" s="209" customFormat="1" ht="16.5" customHeight="1" x14ac:dyDescent="0.25">
      <c r="A439" s="207"/>
      <c r="B439" s="208"/>
    </row>
    <row r="440" spans="1:2" s="209" customFormat="1" ht="16.5" customHeight="1" x14ac:dyDescent="0.25">
      <c r="A440" s="207"/>
      <c r="B440" s="208"/>
    </row>
    <row r="441" spans="1:2" s="209" customFormat="1" ht="16.5" customHeight="1" x14ac:dyDescent="0.25">
      <c r="A441" s="207"/>
      <c r="B441" s="208"/>
    </row>
    <row r="442" spans="1:2" s="209" customFormat="1" ht="16.5" customHeight="1" x14ac:dyDescent="0.25">
      <c r="A442" s="207"/>
      <c r="B442" s="208"/>
    </row>
    <row r="443" spans="1:2" s="209" customFormat="1" ht="16.5" customHeight="1" x14ac:dyDescent="0.25">
      <c r="A443" s="207"/>
      <c r="B443" s="208"/>
    </row>
    <row r="444" spans="1:2" s="209" customFormat="1" ht="16.5" customHeight="1" x14ac:dyDescent="0.25">
      <c r="A444" s="207"/>
      <c r="B444" s="208"/>
    </row>
    <row r="445" spans="1:2" s="209" customFormat="1" ht="16.5" customHeight="1" x14ac:dyDescent="0.25">
      <c r="A445" s="207"/>
      <c r="B445" s="208"/>
    </row>
    <row r="446" spans="1:2" s="209" customFormat="1" ht="16.5" customHeight="1" x14ac:dyDescent="0.25">
      <c r="A446" s="207"/>
      <c r="B446" s="208"/>
    </row>
    <row r="447" spans="1:2" s="209" customFormat="1" ht="16.5" customHeight="1" x14ac:dyDescent="0.25">
      <c r="A447" s="207"/>
      <c r="B447" s="208"/>
    </row>
    <row r="448" spans="1:2" s="209" customFormat="1" ht="16.5" customHeight="1" x14ac:dyDescent="0.25">
      <c r="A448" s="207"/>
      <c r="B448" s="208"/>
    </row>
    <row r="449" spans="1:2" s="209" customFormat="1" ht="16.5" customHeight="1" x14ac:dyDescent="0.25">
      <c r="A449" s="207"/>
      <c r="B449" s="208"/>
    </row>
    <row r="450" spans="1:2" s="209" customFormat="1" ht="16.5" customHeight="1" x14ac:dyDescent="0.25">
      <c r="A450" s="207"/>
      <c r="B450" s="208"/>
    </row>
    <row r="451" spans="1:2" s="209" customFormat="1" ht="16.5" customHeight="1" x14ac:dyDescent="0.25">
      <c r="A451" s="207"/>
      <c r="B451" s="208"/>
    </row>
    <row r="452" spans="1:2" s="209" customFormat="1" ht="16.5" customHeight="1" x14ac:dyDescent="0.25">
      <c r="A452" s="207"/>
      <c r="B452" s="208"/>
    </row>
    <row r="453" spans="1:2" s="209" customFormat="1" ht="16.5" customHeight="1" x14ac:dyDescent="0.25">
      <c r="A453" s="207"/>
      <c r="B453" s="208"/>
    </row>
    <row r="454" spans="1:2" s="209" customFormat="1" ht="16.5" customHeight="1" x14ac:dyDescent="0.25">
      <c r="A454" s="207"/>
      <c r="B454" s="208"/>
    </row>
    <row r="455" spans="1:2" s="209" customFormat="1" ht="16.5" customHeight="1" x14ac:dyDescent="0.25">
      <c r="A455" s="207"/>
      <c r="B455" s="208"/>
    </row>
    <row r="456" spans="1:2" s="209" customFormat="1" ht="16.5" customHeight="1" x14ac:dyDescent="0.25">
      <c r="A456" s="207"/>
      <c r="B456" s="208"/>
    </row>
    <row r="457" spans="1:2" s="209" customFormat="1" ht="16.5" customHeight="1" x14ac:dyDescent="0.25">
      <c r="A457" s="207"/>
      <c r="B457" s="208"/>
    </row>
    <row r="458" spans="1:2" s="209" customFormat="1" ht="16.5" customHeight="1" x14ac:dyDescent="0.25">
      <c r="A458" s="207"/>
      <c r="B458" s="208"/>
    </row>
    <row r="459" spans="1:2" s="209" customFormat="1" ht="16.5" customHeight="1" x14ac:dyDescent="0.25">
      <c r="A459" s="207"/>
      <c r="B459" s="208"/>
    </row>
    <row r="460" spans="1:2" s="209" customFormat="1" ht="16.5" customHeight="1" x14ac:dyDescent="0.25">
      <c r="A460" s="207"/>
      <c r="B460" s="208"/>
    </row>
    <row r="461" spans="1:2" s="209" customFormat="1" ht="16.5" customHeight="1" x14ac:dyDescent="0.25">
      <c r="A461" s="207"/>
      <c r="B461" s="208"/>
    </row>
    <row r="462" spans="1:2" s="209" customFormat="1" ht="16.5" customHeight="1" x14ac:dyDescent="0.25">
      <c r="A462" s="207"/>
      <c r="B462" s="208"/>
    </row>
    <row r="463" spans="1:2" s="209" customFormat="1" ht="16.5" customHeight="1" x14ac:dyDescent="0.25">
      <c r="A463" s="207"/>
      <c r="B463" s="208"/>
    </row>
    <row r="464" spans="1:2" s="209" customFormat="1" ht="16.5" customHeight="1" x14ac:dyDescent="0.25">
      <c r="A464" s="207"/>
      <c r="B464" s="208"/>
    </row>
    <row r="465" spans="1:2" s="209" customFormat="1" ht="16.5" customHeight="1" x14ac:dyDescent="0.25">
      <c r="A465" s="207"/>
      <c r="B465" s="208"/>
    </row>
    <row r="466" spans="1:2" s="209" customFormat="1" ht="16.5" customHeight="1" x14ac:dyDescent="0.25">
      <c r="A466" s="207"/>
      <c r="B466" s="208"/>
    </row>
    <row r="467" spans="1:2" s="209" customFormat="1" ht="16.5" customHeight="1" x14ac:dyDescent="0.25">
      <c r="A467" s="207"/>
      <c r="B467" s="208"/>
    </row>
    <row r="468" spans="1:2" s="209" customFormat="1" ht="16.5" customHeight="1" x14ac:dyDescent="0.25">
      <c r="A468" s="207"/>
      <c r="B468" s="208"/>
    </row>
    <row r="469" spans="1:2" s="209" customFormat="1" ht="16.5" customHeight="1" x14ac:dyDescent="0.25">
      <c r="A469" s="207"/>
      <c r="B469" s="208"/>
    </row>
    <row r="470" spans="1:2" s="209" customFormat="1" ht="16.5" customHeight="1" x14ac:dyDescent="0.25">
      <c r="A470" s="207"/>
      <c r="B470" s="208"/>
    </row>
    <row r="471" spans="1:2" s="209" customFormat="1" ht="16.5" customHeight="1" x14ac:dyDescent="0.25">
      <c r="A471" s="207"/>
      <c r="B471" s="208"/>
    </row>
    <row r="472" spans="1:2" s="209" customFormat="1" ht="16.5" customHeight="1" x14ac:dyDescent="0.25">
      <c r="A472" s="207"/>
      <c r="B472" s="208"/>
    </row>
    <row r="473" spans="1:2" s="209" customFormat="1" ht="16.5" customHeight="1" x14ac:dyDescent="0.25">
      <c r="A473" s="207"/>
      <c r="B473" s="208"/>
    </row>
    <row r="474" spans="1:2" s="209" customFormat="1" ht="16.5" customHeight="1" x14ac:dyDescent="0.25">
      <c r="A474" s="207"/>
      <c r="B474" s="208"/>
    </row>
    <row r="475" spans="1:2" s="209" customFormat="1" ht="16.5" customHeight="1" x14ac:dyDescent="0.25">
      <c r="A475" s="207"/>
      <c r="B475" s="208"/>
    </row>
    <row r="476" spans="1:2" s="209" customFormat="1" ht="16.5" customHeight="1" x14ac:dyDescent="0.25">
      <c r="A476" s="207"/>
      <c r="B476" s="208"/>
    </row>
    <row r="477" spans="1:2" s="209" customFormat="1" ht="16.5" customHeight="1" x14ac:dyDescent="0.25">
      <c r="A477" s="207"/>
      <c r="B477" s="208"/>
    </row>
    <row r="478" spans="1:2" s="209" customFormat="1" ht="16.5" customHeight="1" x14ac:dyDescent="0.25">
      <c r="A478" s="207"/>
      <c r="B478" s="208"/>
    </row>
    <row r="479" spans="1:2" s="209" customFormat="1" ht="16.5" customHeight="1" x14ac:dyDescent="0.25">
      <c r="A479" s="207"/>
      <c r="B479" s="208"/>
    </row>
    <row r="480" spans="1:2" s="209" customFormat="1" ht="16.5" customHeight="1" x14ac:dyDescent="0.25">
      <c r="A480" s="207"/>
      <c r="B480" s="208"/>
    </row>
    <row r="481" spans="1:2" s="209" customFormat="1" ht="16.5" customHeight="1" x14ac:dyDescent="0.25">
      <c r="A481" s="207"/>
      <c r="B481" s="208"/>
    </row>
    <row r="482" spans="1:2" s="209" customFormat="1" ht="16.5" customHeight="1" x14ac:dyDescent="0.25">
      <c r="A482" s="207"/>
      <c r="B482" s="208"/>
    </row>
    <row r="483" spans="1:2" s="209" customFormat="1" ht="16.5" customHeight="1" x14ac:dyDescent="0.25">
      <c r="A483" s="207"/>
      <c r="B483" s="208"/>
    </row>
    <row r="484" spans="1:2" s="209" customFormat="1" ht="16.5" customHeight="1" x14ac:dyDescent="0.25">
      <c r="A484" s="207"/>
      <c r="B484" s="208"/>
    </row>
    <row r="485" spans="1:2" s="209" customFormat="1" ht="16.5" customHeight="1" x14ac:dyDescent="0.25">
      <c r="A485" s="207"/>
      <c r="B485" s="208"/>
    </row>
    <row r="486" spans="1:2" s="209" customFormat="1" ht="16.5" customHeight="1" x14ac:dyDescent="0.25">
      <c r="A486" s="207"/>
      <c r="B486" s="208"/>
    </row>
    <row r="487" spans="1:2" s="209" customFormat="1" ht="16.5" customHeight="1" x14ac:dyDescent="0.25">
      <c r="A487" s="207"/>
      <c r="B487" s="208"/>
    </row>
    <row r="488" spans="1:2" s="209" customFormat="1" ht="16.5" customHeight="1" x14ac:dyDescent="0.25">
      <c r="A488" s="207"/>
      <c r="B488" s="208"/>
    </row>
    <row r="489" spans="1:2" s="209" customFormat="1" ht="16.5" customHeight="1" x14ac:dyDescent="0.25">
      <c r="A489" s="207"/>
      <c r="B489" s="208"/>
    </row>
    <row r="490" spans="1:2" s="209" customFormat="1" ht="16.5" customHeight="1" x14ac:dyDescent="0.25">
      <c r="A490" s="207"/>
      <c r="B490" s="208"/>
    </row>
    <row r="491" spans="1:2" s="209" customFormat="1" ht="16.5" customHeight="1" x14ac:dyDescent="0.25">
      <c r="A491" s="207"/>
      <c r="B491" s="208"/>
    </row>
    <row r="492" spans="1:2" s="209" customFormat="1" ht="16.5" customHeight="1" x14ac:dyDescent="0.25">
      <c r="A492" s="207"/>
      <c r="B492" s="208"/>
    </row>
    <row r="493" spans="1:2" s="209" customFormat="1" ht="16.5" customHeight="1" x14ac:dyDescent="0.25">
      <c r="A493" s="207"/>
      <c r="B493" s="208"/>
    </row>
    <row r="494" spans="1:2" s="209" customFormat="1" ht="16.5" customHeight="1" x14ac:dyDescent="0.25">
      <c r="A494" s="207"/>
      <c r="B494" s="208"/>
    </row>
    <row r="495" spans="1:2" s="209" customFormat="1" ht="16.5" customHeight="1" x14ac:dyDescent="0.25">
      <c r="A495" s="207"/>
      <c r="B495" s="208"/>
    </row>
    <row r="496" spans="1:2" s="209" customFormat="1" ht="16.5" customHeight="1" x14ac:dyDescent="0.25">
      <c r="A496" s="207"/>
      <c r="B496" s="208"/>
    </row>
    <row r="497" spans="1:2" s="209" customFormat="1" ht="16.5" customHeight="1" x14ac:dyDescent="0.25">
      <c r="A497" s="207"/>
      <c r="B497" s="208"/>
    </row>
    <row r="498" spans="1:2" s="209" customFormat="1" ht="16.5" customHeight="1" x14ac:dyDescent="0.25">
      <c r="A498" s="207"/>
      <c r="B498" s="208"/>
    </row>
    <row r="499" spans="1:2" s="209" customFormat="1" ht="16.5" customHeight="1" x14ac:dyDescent="0.25">
      <c r="A499" s="207"/>
      <c r="B499" s="208"/>
    </row>
    <row r="500" spans="1:2" s="209" customFormat="1" ht="16.5" customHeight="1" x14ac:dyDescent="0.25">
      <c r="A500" s="207"/>
      <c r="B500" s="208"/>
    </row>
    <row r="501" spans="1:2" s="209" customFormat="1" ht="16.5" customHeight="1" x14ac:dyDescent="0.25">
      <c r="A501" s="207"/>
      <c r="B501" s="208"/>
    </row>
    <row r="502" spans="1:2" s="209" customFormat="1" ht="16.5" customHeight="1" x14ac:dyDescent="0.25">
      <c r="A502" s="207"/>
      <c r="B502" s="208"/>
    </row>
    <row r="503" spans="1:2" s="209" customFormat="1" ht="16.5" customHeight="1" x14ac:dyDescent="0.25">
      <c r="A503" s="207"/>
      <c r="B503" s="208"/>
    </row>
    <row r="504" spans="1:2" s="209" customFormat="1" ht="16.5" customHeight="1" x14ac:dyDescent="0.25">
      <c r="A504" s="207"/>
      <c r="B504" s="208"/>
    </row>
    <row r="505" spans="1:2" s="209" customFormat="1" ht="16.5" customHeight="1" x14ac:dyDescent="0.25">
      <c r="A505" s="207"/>
      <c r="B505" s="208"/>
    </row>
    <row r="506" spans="1:2" s="209" customFormat="1" ht="16.5" customHeight="1" x14ac:dyDescent="0.25">
      <c r="A506" s="207"/>
      <c r="B506" s="208"/>
    </row>
    <row r="507" spans="1:2" s="209" customFormat="1" ht="16.5" customHeight="1" x14ac:dyDescent="0.25">
      <c r="A507" s="207"/>
      <c r="B507" s="208"/>
    </row>
    <row r="508" spans="1:2" s="209" customFormat="1" ht="16.5" customHeight="1" x14ac:dyDescent="0.25">
      <c r="A508" s="207"/>
      <c r="B508" s="208"/>
    </row>
    <row r="509" spans="1:2" s="209" customFormat="1" ht="16.5" customHeight="1" x14ac:dyDescent="0.25">
      <c r="A509" s="207"/>
      <c r="B509" s="208"/>
    </row>
    <row r="510" spans="1:2" s="209" customFormat="1" ht="16.5" customHeight="1" x14ac:dyDescent="0.25">
      <c r="A510" s="207"/>
      <c r="B510" s="208"/>
    </row>
    <row r="511" spans="1:2" s="209" customFormat="1" ht="16.5" customHeight="1" x14ac:dyDescent="0.25">
      <c r="A511" s="207"/>
      <c r="B511" s="208"/>
    </row>
    <row r="512" spans="1:2" s="209" customFormat="1" ht="16.5" customHeight="1" x14ac:dyDescent="0.25">
      <c r="A512" s="207"/>
      <c r="B512" s="208"/>
    </row>
    <row r="513" spans="1:2" s="209" customFormat="1" ht="16.5" customHeight="1" x14ac:dyDescent="0.25">
      <c r="A513" s="207"/>
      <c r="B513" s="208"/>
    </row>
    <row r="514" spans="1:2" s="209" customFormat="1" ht="16.5" customHeight="1" x14ac:dyDescent="0.25">
      <c r="A514" s="207"/>
      <c r="B514" s="208"/>
    </row>
    <row r="515" spans="1:2" s="209" customFormat="1" ht="16.5" customHeight="1" x14ac:dyDescent="0.25">
      <c r="A515" s="207"/>
      <c r="B515" s="208"/>
    </row>
    <row r="516" spans="1:2" s="209" customFormat="1" ht="16.5" customHeight="1" x14ac:dyDescent="0.25">
      <c r="A516" s="207"/>
      <c r="B516" s="208"/>
    </row>
    <row r="517" spans="1:2" s="209" customFormat="1" ht="16.5" customHeight="1" x14ac:dyDescent="0.25">
      <c r="A517" s="207"/>
      <c r="B517" s="208"/>
    </row>
    <row r="518" spans="1:2" s="209" customFormat="1" ht="16.5" customHeight="1" x14ac:dyDescent="0.25">
      <c r="A518" s="207"/>
      <c r="B518" s="208"/>
    </row>
    <row r="519" spans="1:2" s="209" customFormat="1" ht="16.5" customHeight="1" x14ac:dyDescent="0.25">
      <c r="A519" s="207"/>
      <c r="B519" s="208"/>
    </row>
    <row r="520" spans="1:2" s="209" customFormat="1" ht="16.5" customHeight="1" x14ac:dyDescent="0.25">
      <c r="A520" s="207"/>
      <c r="B520" s="208"/>
    </row>
    <row r="521" spans="1:2" s="209" customFormat="1" ht="16.5" customHeight="1" x14ac:dyDescent="0.25">
      <c r="A521" s="207"/>
      <c r="B521" s="208"/>
    </row>
    <row r="522" spans="1:2" s="209" customFormat="1" ht="16.5" customHeight="1" x14ac:dyDescent="0.25">
      <c r="A522" s="207"/>
      <c r="B522" s="208"/>
    </row>
    <row r="523" spans="1:2" s="209" customFormat="1" ht="16.5" customHeight="1" x14ac:dyDescent="0.25">
      <c r="A523" s="207"/>
      <c r="B523" s="208"/>
    </row>
    <row r="524" spans="1:2" s="209" customFormat="1" ht="16.5" customHeight="1" x14ac:dyDescent="0.25">
      <c r="A524" s="207"/>
      <c r="B524" s="208"/>
    </row>
    <row r="525" spans="1:2" s="209" customFormat="1" ht="16.5" customHeight="1" x14ac:dyDescent="0.25">
      <c r="A525" s="207"/>
      <c r="B525" s="208"/>
    </row>
    <row r="526" spans="1:2" s="209" customFormat="1" ht="16.5" customHeight="1" x14ac:dyDescent="0.25">
      <c r="A526" s="207"/>
      <c r="B526" s="208"/>
    </row>
    <row r="527" spans="1:2" s="209" customFormat="1" ht="16.5" customHeight="1" x14ac:dyDescent="0.25">
      <c r="A527" s="207"/>
      <c r="B527" s="208"/>
    </row>
    <row r="528" spans="1:2" s="209" customFormat="1" ht="16.5" customHeight="1" x14ac:dyDescent="0.25">
      <c r="A528" s="207"/>
      <c r="B528" s="208"/>
    </row>
    <row r="529" spans="1:2" s="209" customFormat="1" ht="16.5" customHeight="1" x14ac:dyDescent="0.25">
      <c r="A529" s="207"/>
      <c r="B529" s="208"/>
    </row>
    <row r="530" spans="1:2" s="209" customFormat="1" ht="16.5" customHeight="1" x14ac:dyDescent="0.25">
      <c r="A530" s="207"/>
      <c r="B530" s="208"/>
    </row>
    <row r="531" spans="1:2" s="209" customFormat="1" ht="16.5" customHeight="1" x14ac:dyDescent="0.25">
      <c r="A531" s="207"/>
      <c r="B531" s="208"/>
    </row>
    <row r="532" spans="1:2" s="209" customFormat="1" ht="16.5" customHeight="1" x14ac:dyDescent="0.25">
      <c r="A532" s="207"/>
      <c r="B532" s="208"/>
    </row>
    <row r="533" spans="1:2" s="209" customFormat="1" ht="16.5" customHeight="1" x14ac:dyDescent="0.25">
      <c r="A533" s="207"/>
      <c r="B533" s="208"/>
    </row>
    <row r="534" spans="1:2" s="209" customFormat="1" ht="16.5" customHeight="1" x14ac:dyDescent="0.25">
      <c r="A534" s="207"/>
      <c r="B534" s="208"/>
    </row>
    <row r="535" spans="1:2" s="209" customFormat="1" ht="16.5" customHeight="1" x14ac:dyDescent="0.25">
      <c r="A535" s="207"/>
      <c r="B535" s="208"/>
    </row>
    <row r="536" spans="1:2" s="209" customFormat="1" ht="16.5" customHeight="1" x14ac:dyDescent="0.25">
      <c r="A536" s="207"/>
      <c r="B536" s="208"/>
    </row>
    <row r="537" spans="1:2" s="209" customFormat="1" ht="16.5" customHeight="1" x14ac:dyDescent="0.25">
      <c r="A537" s="207"/>
      <c r="B537" s="208"/>
    </row>
    <row r="538" spans="1:2" s="209" customFormat="1" ht="16.5" customHeight="1" x14ac:dyDescent="0.25">
      <c r="A538" s="207"/>
      <c r="B538" s="208"/>
    </row>
    <row r="539" spans="1:2" s="209" customFormat="1" ht="16.5" customHeight="1" x14ac:dyDescent="0.25">
      <c r="A539" s="207"/>
      <c r="B539" s="208"/>
    </row>
    <row r="540" spans="1:2" s="209" customFormat="1" ht="16.5" customHeight="1" x14ac:dyDescent="0.25">
      <c r="A540" s="207"/>
      <c r="B540" s="208"/>
    </row>
    <row r="541" spans="1:2" s="209" customFormat="1" ht="16.5" customHeight="1" x14ac:dyDescent="0.25">
      <c r="A541" s="207"/>
      <c r="B541" s="208"/>
    </row>
    <row r="542" spans="1:2" s="209" customFormat="1" ht="16.5" customHeight="1" x14ac:dyDescent="0.25">
      <c r="A542" s="207"/>
      <c r="B542" s="208"/>
    </row>
    <row r="543" spans="1:2" s="209" customFormat="1" ht="16.5" customHeight="1" x14ac:dyDescent="0.25">
      <c r="A543" s="207"/>
      <c r="B543" s="208"/>
    </row>
    <row r="544" spans="1:2" s="209" customFormat="1" ht="16.5" customHeight="1" x14ac:dyDescent="0.25">
      <c r="A544" s="207"/>
      <c r="B544" s="208"/>
    </row>
    <row r="545" spans="1:2" s="209" customFormat="1" ht="16.5" customHeight="1" x14ac:dyDescent="0.25">
      <c r="A545" s="207"/>
      <c r="B545" s="208"/>
    </row>
    <row r="546" spans="1:2" s="209" customFormat="1" ht="16.5" customHeight="1" x14ac:dyDescent="0.25">
      <c r="A546" s="207"/>
      <c r="B546" s="208"/>
    </row>
    <row r="547" spans="1:2" s="209" customFormat="1" ht="16.5" customHeight="1" x14ac:dyDescent="0.25">
      <c r="A547" s="207"/>
      <c r="B547" s="208"/>
    </row>
    <row r="548" spans="1:2" s="209" customFormat="1" ht="16.5" customHeight="1" x14ac:dyDescent="0.25">
      <c r="A548" s="207"/>
      <c r="B548" s="208"/>
    </row>
    <row r="549" spans="1:2" s="209" customFormat="1" ht="16.5" customHeight="1" x14ac:dyDescent="0.25">
      <c r="A549" s="207"/>
      <c r="B549" s="208"/>
    </row>
    <row r="550" spans="1:2" s="209" customFormat="1" ht="16.5" customHeight="1" x14ac:dyDescent="0.25">
      <c r="A550" s="207"/>
      <c r="B550" s="208"/>
    </row>
    <row r="551" spans="1:2" s="209" customFormat="1" ht="16.5" customHeight="1" x14ac:dyDescent="0.25">
      <c r="A551" s="207"/>
      <c r="B551" s="208"/>
    </row>
    <row r="552" spans="1:2" s="209" customFormat="1" ht="16.5" customHeight="1" x14ac:dyDescent="0.25">
      <c r="A552" s="207"/>
      <c r="B552" s="208"/>
    </row>
    <row r="553" spans="1:2" s="209" customFormat="1" ht="16.5" customHeight="1" x14ac:dyDescent="0.25">
      <c r="A553" s="207"/>
      <c r="B553" s="208"/>
    </row>
    <row r="554" spans="1:2" s="209" customFormat="1" ht="16.5" customHeight="1" x14ac:dyDescent="0.25">
      <c r="A554" s="207"/>
      <c r="B554" s="208"/>
    </row>
    <row r="555" spans="1:2" s="209" customFormat="1" ht="16.5" customHeight="1" x14ac:dyDescent="0.25">
      <c r="A555" s="207"/>
      <c r="B555" s="208"/>
    </row>
    <row r="556" spans="1:2" s="209" customFormat="1" ht="16.5" customHeight="1" x14ac:dyDescent="0.25">
      <c r="A556" s="207"/>
      <c r="B556" s="208"/>
    </row>
    <row r="557" spans="1:2" s="209" customFormat="1" ht="16.5" customHeight="1" x14ac:dyDescent="0.25">
      <c r="A557" s="207"/>
      <c r="B557" s="208"/>
    </row>
    <row r="558" spans="1:2" s="209" customFormat="1" ht="16.5" customHeight="1" x14ac:dyDescent="0.25">
      <c r="A558" s="207"/>
      <c r="B558" s="208"/>
    </row>
    <row r="559" spans="1:2" s="209" customFormat="1" ht="16.5" customHeight="1" x14ac:dyDescent="0.25">
      <c r="A559" s="207"/>
      <c r="B559" s="208"/>
    </row>
    <row r="560" spans="1:2" s="209" customFormat="1" ht="16.5" customHeight="1" x14ac:dyDescent="0.25">
      <c r="A560" s="207"/>
      <c r="B560" s="208"/>
    </row>
    <row r="561" spans="1:2" s="209" customFormat="1" ht="16.5" customHeight="1" x14ac:dyDescent="0.25">
      <c r="A561" s="207"/>
      <c r="B561" s="208"/>
    </row>
    <row r="562" spans="1:2" s="209" customFormat="1" ht="16.5" customHeight="1" x14ac:dyDescent="0.25">
      <c r="A562" s="207"/>
      <c r="B562" s="208"/>
    </row>
    <row r="563" spans="1:2" s="209" customFormat="1" ht="16.5" customHeight="1" x14ac:dyDescent="0.25">
      <c r="A563" s="207"/>
      <c r="B563" s="208"/>
    </row>
    <row r="564" spans="1:2" s="209" customFormat="1" ht="16.5" customHeight="1" x14ac:dyDescent="0.25">
      <c r="A564" s="207"/>
      <c r="B564" s="208"/>
    </row>
    <row r="565" spans="1:2" s="209" customFormat="1" ht="16.5" customHeight="1" x14ac:dyDescent="0.25">
      <c r="A565" s="207"/>
      <c r="B565" s="208"/>
    </row>
    <row r="566" spans="1:2" s="209" customFormat="1" ht="16.5" customHeight="1" x14ac:dyDescent="0.25">
      <c r="A566" s="207"/>
      <c r="B566" s="208"/>
    </row>
    <row r="567" spans="1:2" s="209" customFormat="1" ht="16.5" customHeight="1" x14ac:dyDescent="0.25">
      <c r="A567" s="207"/>
      <c r="B567" s="208"/>
    </row>
    <row r="568" spans="1:2" s="209" customFormat="1" ht="16.5" customHeight="1" x14ac:dyDescent="0.25">
      <c r="A568" s="207"/>
      <c r="B568" s="208"/>
    </row>
    <row r="569" spans="1:2" s="209" customFormat="1" ht="16.5" customHeight="1" x14ac:dyDescent="0.25">
      <c r="A569" s="207"/>
      <c r="B569" s="208"/>
    </row>
    <row r="570" spans="1:2" s="209" customFormat="1" ht="16.5" customHeight="1" x14ac:dyDescent="0.25">
      <c r="A570" s="207"/>
      <c r="B570" s="208"/>
    </row>
    <row r="571" spans="1:2" s="209" customFormat="1" ht="16.5" customHeight="1" x14ac:dyDescent="0.25">
      <c r="A571" s="207"/>
      <c r="B571" s="208"/>
    </row>
    <row r="572" spans="1:2" s="209" customFormat="1" ht="16.5" customHeight="1" x14ac:dyDescent="0.25">
      <c r="A572" s="207"/>
      <c r="B572" s="208"/>
    </row>
    <row r="573" spans="1:2" s="209" customFormat="1" ht="16.5" customHeight="1" x14ac:dyDescent="0.25">
      <c r="A573" s="207"/>
      <c r="B573" s="208"/>
    </row>
    <row r="574" spans="1:2" s="209" customFormat="1" ht="16.5" customHeight="1" x14ac:dyDescent="0.25">
      <c r="A574" s="207"/>
      <c r="B574" s="208"/>
    </row>
    <row r="575" spans="1:2" s="209" customFormat="1" ht="16.5" customHeight="1" x14ac:dyDescent="0.25">
      <c r="A575" s="207"/>
      <c r="B575" s="208"/>
    </row>
    <row r="576" spans="1:2" s="209" customFormat="1" ht="16.5" customHeight="1" x14ac:dyDescent="0.25">
      <c r="A576" s="207"/>
      <c r="B576" s="208"/>
    </row>
    <row r="577" spans="1:2" s="209" customFormat="1" ht="16.5" customHeight="1" x14ac:dyDescent="0.25">
      <c r="A577" s="207"/>
      <c r="B577" s="208"/>
    </row>
    <row r="578" spans="1:2" s="209" customFormat="1" ht="16.5" customHeight="1" x14ac:dyDescent="0.25">
      <c r="A578" s="207"/>
      <c r="B578" s="208"/>
    </row>
    <row r="579" spans="1:2" s="209" customFormat="1" ht="16.5" customHeight="1" x14ac:dyDescent="0.25">
      <c r="A579" s="207"/>
      <c r="B579" s="208"/>
    </row>
    <row r="580" spans="1:2" s="209" customFormat="1" ht="16.5" customHeight="1" x14ac:dyDescent="0.25">
      <c r="A580" s="207"/>
      <c r="B580" s="208"/>
    </row>
    <row r="581" spans="1:2" s="209" customFormat="1" ht="16.5" customHeight="1" x14ac:dyDescent="0.25">
      <c r="A581" s="207"/>
      <c r="B581" s="208"/>
    </row>
    <row r="582" spans="1:2" s="209" customFormat="1" ht="16.5" customHeight="1" x14ac:dyDescent="0.25">
      <c r="A582" s="207"/>
      <c r="B582" s="208"/>
    </row>
    <row r="583" spans="1:2" s="209" customFormat="1" ht="16.5" customHeight="1" x14ac:dyDescent="0.25">
      <c r="A583" s="207"/>
      <c r="B583" s="208"/>
    </row>
    <row r="584" spans="1:2" s="209" customFormat="1" ht="16.5" customHeight="1" x14ac:dyDescent="0.25">
      <c r="A584" s="207"/>
      <c r="B584" s="208"/>
    </row>
    <row r="585" spans="1:2" s="209" customFormat="1" ht="16.5" customHeight="1" x14ac:dyDescent="0.25">
      <c r="A585" s="207"/>
      <c r="B585" s="208"/>
    </row>
    <row r="586" spans="1:2" s="209" customFormat="1" ht="16.5" customHeight="1" x14ac:dyDescent="0.25">
      <c r="A586" s="207"/>
      <c r="B586" s="208"/>
    </row>
    <row r="587" spans="1:2" s="209" customFormat="1" ht="16.5" customHeight="1" x14ac:dyDescent="0.25">
      <c r="A587" s="207"/>
      <c r="B587" s="208"/>
    </row>
    <row r="588" spans="1:2" s="209" customFormat="1" ht="16.5" customHeight="1" x14ac:dyDescent="0.25">
      <c r="A588" s="207"/>
      <c r="B588" s="208"/>
    </row>
    <row r="589" spans="1:2" s="209" customFormat="1" ht="16.5" customHeight="1" x14ac:dyDescent="0.25">
      <c r="A589" s="207"/>
      <c r="B589" s="208"/>
    </row>
    <row r="590" spans="1:2" s="209" customFormat="1" ht="16.5" customHeight="1" x14ac:dyDescent="0.25">
      <c r="A590" s="207"/>
      <c r="B590" s="208"/>
    </row>
    <row r="591" spans="1:2" s="209" customFormat="1" ht="16.5" customHeight="1" x14ac:dyDescent="0.25">
      <c r="A591" s="207"/>
      <c r="B591" s="208"/>
    </row>
    <row r="592" spans="1:2" s="209" customFormat="1" ht="16.5" customHeight="1" x14ac:dyDescent="0.25">
      <c r="A592" s="207"/>
      <c r="B592" s="208"/>
    </row>
    <row r="593" spans="1:2" s="209" customFormat="1" ht="16.5" customHeight="1" x14ac:dyDescent="0.25">
      <c r="A593" s="207"/>
      <c r="B593" s="208"/>
    </row>
    <row r="594" spans="1:2" s="209" customFormat="1" ht="16.5" customHeight="1" x14ac:dyDescent="0.25">
      <c r="A594" s="207"/>
      <c r="B594" s="208"/>
    </row>
    <row r="595" spans="1:2" s="209" customFormat="1" ht="16.5" customHeight="1" x14ac:dyDescent="0.25">
      <c r="A595" s="207"/>
      <c r="B595" s="208"/>
    </row>
    <row r="596" spans="1:2" s="209" customFormat="1" ht="16.5" customHeight="1" x14ac:dyDescent="0.25">
      <c r="A596" s="207"/>
      <c r="B596" s="208"/>
    </row>
    <row r="597" spans="1:2" s="209" customFormat="1" ht="16.5" customHeight="1" x14ac:dyDescent="0.25">
      <c r="A597" s="207"/>
      <c r="B597" s="208"/>
    </row>
    <row r="598" spans="1:2" s="209" customFormat="1" ht="16.5" customHeight="1" x14ac:dyDescent="0.25">
      <c r="A598" s="207"/>
      <c r="B598" s="208"/>
    </row>
    <row r="599" spans="1:2" s="209" customFormat="1" ht="16.5" customHeight="1" x14ac:dyDescent="0.25">
      <c r="A599" s="207"/>
      <c r="B599" s="208"/>
    </row>
    <row r="600" spans="1:2" s="209" customFormat="1" ht="16.5" customHeight="1" x14ac:dyDescent="0.25">
      <c r="A600" s="207"/>
      <c r="B600" s="208"/>
    </row>
    <row r="601" spans="1:2" s="209" customFormat="1" ht="16.5" customHeight="1" x14ac:dyDescent="0.25">
      <c r="A601" s="207"/>
      <c r="B601" s="208"/>
    </row>
    <row r="602" spans="1:2" s="209" customFormat="1" ht="16.5" customHeight="1" x14ac:dyDescent="0.25">
      <c r="A602" s="207"/>
      <c r="B602" s="208"/>
    </row>
    <row r="603" spans="1:2" s="209" customFormat="1" ht="16.5" customHeight="1" x14ac:dyDescent="0.25">
      <c r="A603" s="207"/>
      <c r="B603" s="208"/>
    </row>
    <row r="604" spans="1:2" s="209" customFormat="1" ht="16.5" customHeight="1" x14ac:dyDescent="0.25">
      <c r="A604" s="207"/>
      <c r="B604" s="208"/>
    </row>
    <row r="605" spans="1:2" s="209" customFormat="1" ht="16.5" customHeight="1" x14ac:dyDescent="0.25">
      <c r="A605" s="207"/>
      <c r="B605" s="208"/>
    </row>
    <row r="606" spans="1:2" s="209" customFormat="1" ht="16.5" customHeight="1" x14ac:dyDescent="0.25">
      <c r="A606" s="207"/>
      <c r="B606" s="208"/>
    </row>
    <row r="607" spans="1:2" s="209" customFormat="1" ht="16.5" customHeight="1" x14ac:dyDescent="0.25">
      <c r="A607" s="207"/>
      <c r="B607" s="208"/>
    </row>
    <row r="608" spans="1:2" s="209" customFormat="1" ht="16.5" customHeight="1" x14ac:dyDescent="0.25">
      <c r="A608" s="207"/>
      <c r="B608" s="208"/>
    </row>
    <row r="609" spans="1:2" s="209" customFormat="1" ht="16.5" customHeight="1" x14ac:dyDescent="0.25">
      <c r="A609" s="207"/>
      <c r="B609" s="208"/>
    </row>
    <row r="610" spans="1:2" s="209" customFormat="1" ht="16.5" customHeight="1" x14ac:dyDescent="0.25">
      <c r="A610" s="207"/>
      <c r="B610" s="208"/>
    </row>
    <row r="611" spans="1:2" s="209" customFormat="1" ht="16.5" customHeight="1" x14ac:dyDescent="0.25">
      <c r="A611" s="207"/>
      <c r="B611" s="208"/>
    </row>
    <row r="612" spans="1:2" s="209" customFormat="1" ht="16.5" customHeight="1" x14ac:dyDescent="0.25">
      <c r="A612" s="207"/>
      <c r="B612" s="208"/>
    </row>
    <row r="613" spans="1:2" s="209" customFormat="1" ht="16.5" customHeight="1" x14ac:dyDescent="0.25">
      <c r="A613" s="207"/>
      <c r="B613" s="208"/>
    </row>
    <row r="614" spans="1:2" s="209" customFormat="1" ht="16.5" customHeight="1" x14ac:dyDescent="0.25">
      <c r="A614" s="207"/>
      <c r="B614" s="208"/>
    </row>
    <row r="615" spans="1:2" s="209" customFormat="1" ht="16.5" customHeight="1" x14ac:dyDescent="0.25">
      <c r="A615" s="207"/>
      <c r="B615" s="208"/>
    </row>
    <row r="616" spans="1:2" s="209" customFormat="1" ht="16.5" customHeight="1" x14ac:dyDescent="0.25">
      <c r="A616" s="207"/>
      <c r="B616" s="208"/>
    </row>
    <row r="617" spans="1:2" s="209" customFormat="1" ht="16.5" customHeight="1" x14ac:dyDescent="0.25">
      <c r="A617" s="207"/>
      <c r="B617" s="208"/>
    </row>
    <row r="618" spans="1:2" s="209" customFormat="1" ht="16.5" customHeight="1" x14ac:dyDescent="0.25">
      <c r="A618" s="207"/>
      <c r="B618" s="208"/>
    </row>
    <row r="619" spans="1:2" s="209" customFormat="1" ht="16.5" customHeight="1" x14ac:dyDescent="0.25">
      <c r="A619" s="207"/>
      <c r="B619" s="208"/>
    </row>
    <row r="620" spans="1:2" s="209" customFormat="1" ht="16.5" customHeight="1" x14ac:dyDescent="0.25">
      <c r="A620" s="207"/>
      <c r="B620" s="208"/>
    </row>
    <row r="621" spans="1:2" s="209" customFormat="1" ht="16.5" customHeight="1" x14ac:dyDescent="0.25">
      <c r="A621" s="207"/>
      <c r="B621" s="208"/>
    </row>
    <row r="622" spans="1:2" s="209" customFormat="1" ht="16.5" customHeight="1" x14ac:dyDescent="0.25">
      <c r="A622" s="207"/>
      <c r="B622" s="208"/>
    </row>
    <row r="623" spans="1:2" s="209" customFormat="1" ht="16.5" customHeight="1" x14ac:dyDescent="0.25">
      <c r="A623" s="207"/>
      <c r="B623" s="208"/>
    </row>
    <row r="624" spans="1:2" s="209" customFormat="1" ht="16.5" customHeight="1" x14ac:dyDescent="0.25">
      <c r="A624" s="207"/>
      <c r="B624" s="208"/>
    </row>
    <row r="625" spans="1:2" s="209" customFormat="1" ht="16.5" customHeight="1" x14ac:dyDescent="0.25">
      <c r="A625" s="207"/>
      <c r="B625" s="208"/>
    </row>
    <row r="626" spans="1:2" s="209" customFormat="1" ht="16.5" customHeight="1" x14ac:dyDescent="0.25">
      <c r="A626" s="207"/>
      <c r="B626" s="208"/>
    </row>
    <row r="627" spans="1:2" s="209" customFormat="1" ht="16.5" customHeight="1" x14ac:dyDescent="0.25">
      <c r="A627" s="207"/>
      <c r="B627" s="208"/>
    </row>
    <row r="628" spans="1:2" s="209" customFormat="1" ht="16.5" customHeight="1" x14ac:dyDescent="0.25">
      <c r="A628" s="207"/>
      <c r="B628" s="208"/>
    </row>
    <row r="629" spans="1:2" s="209" customFormat="1" ht="16.5" customHeight="1" x14ac:dyDescent="0.25">
      <c r="A629" s="207"/>
      <c r="B629" s="208"/>
    </row>
    <row r="630" spans="1:2" s="209" customFormat="1" ht="16.5" customHeight="1" x14ac:dyDescent="0.25">
      <c r="A630" s="207"/>
      <c r="B630" s="208"/>
    </row>
    <row r="631" spans="1:2" s="209" customFormat="1" ht="16.5" customHeight="1" x14ac:dyDescent="0.25">
      <c r="A631" s="207"/>
      <c r="B631" s="208"/>
    </row>
    <row r="632" spans="1:2" s="209" customFormat="1" ht="16.5" customHeight="1" x14ac:dyDescent="0.25">
      <c r="A632" s="207"/>
      <c r="B632" s="208"/>
    </row>
    <row r="633" spans="1:2" s="209" customFormat="1" ht="16.5" customHeight="1" x14ac:dyDescent="0.25">
      <c r="A633" s="207"/>
      <c r="B633" s="208"/>
    </row>
    <row r="634" spans="1:2" s="209" customFormat="1" ht="16.5" customHeight="1" x14ac:dyDescent="0.25">
      <c r="A634" s="207"/>
      <c r="B634" s="208"/>
    </row>
    <row r="635" spans="1:2" s="209" customFormat="1" ht="16.5" customHeight="1" x14ac:dyDescent="0.25">
      <c r="A635" s="207"/>
      <c r="B635" s="208"/>
    </row>
    <row r="636" spans="1:2" s="209" customFormat="1" ht="16.5" customHeight="1" x14ac:dyDescent="0.25">
      <c r="A636" s="207"/>
      <c r="B636" s="208"/>
    </row>
    <row r="637" spans="1:2" s="209" customFormat="1" ht="16.5" customHeight="1" x14ac:dyDescent="0.25">
      <c r="A637" s="207"/>
      <c r="B637" s="208"/>
    </row>
    <row r="638" spans="1:2" s="209" customFormat="1" ht="16.5" customHeight="1" x14ac:dyDescent="0.25">
      <c r="A638" s="207"/>
      <c r="B638" s="208"/>
    </row>
    <row r="639" spans="1:2" s="209" customFormat="1" ht="16.5" customHeight="1" x14ac:dyDescent="0.25">
      <c r="A639" s="207"/>
      <c r="B639" s="208"/>
    </row>
    <row r="640" spans="1:2" s="209" customFormat="1" ht="16.5" customHeight="1" x14ac:dyDescent="0.25">
      <c r="A640" s="207"/>
      <c r="B640" s="208"/>
    </row>
    <row r="641" spans="1:2" s="209" customFormat="1" ht="16.5" customHeight="1" x14ac:dyDescent="0.25">
      <c r="A641" s="207"/>
      <c r="B641" s="208"/>
    </row>
    <row r="642" spans="1:2" s="209" customFormat="1" ht="16.5" customHeight="1" x14ac:dyDescent="0.25">
      <c r="A642" s="207"/>
      <c r="B642" s="208"/>
    </row>
    <row r="643" spans="1:2" s="209" customFormat="1" ht="16.5" customHeight="1" x14ac:dyDescent="0.25">
      <c r="A643" s="207"/>
      <c r="B643" s="208"/>
    </row>
    <row r="644" spans="1:2" s="209" customFormat="1" ht="16.5" customHeight="1" x14ac:dyDescent="0.25">
      <c r="A644" s="207"/>
      <c r="B644" s="208"/>
    </row>
    <row r="645" spans="1:2" s="209" customFormat="1" ht="16.5" customHeight="1" x14ac:dyDescent="0.25">
      <c r="A645" s="207"/>
      <c r="B645" s="208"/>
    </row>
    <row r="646" spans="1:2" s="209" customFormat="1" ht="16.5" customHeight="1" x14ac:dyDescent="0.25">
      <c r="A646" s="207"/>
      <c r="B646" s="208"/>
    </row>
    <row r="647" spans="1:2" s="209" customFormat="1" ht="16.5" customHeight="1" x14ac:dyDescent="0.25">
      <c r="A647" s="207"/>
      <c r="B647" s="208"/>
    </row>
    <row r="648" spans="1:2" s="209" customFormat="1" ht="16.5" customHeight="1" x14ac:dyDescent="0.25">
      <c r="A648" s="207"/>
      <c r="B648" s="208"/>
    </row>
    <row r="649" spans="1:2" s="209" customFormat="1" ht="16.5" customHeight="1" x14ac:dyDescent="0.25">
      <c r="A649" s="207"/>
      <c r="B649" s="208"/>
    </row>
    <row r="650" spans="1:2" s="209" customFormat="1" ht="16.5" customHeight="1" x14ac:dyDescent="0.25">
      <c r="A650" s="207"/>
      <c r="B650" s="208"/>
    </row>
    <row r="651" spans="1:2" s="209" customFormat="1" ht="16.5" customHeight="1" x14ac:dyDescent="0.25">
      <c r="A651" s="207"/>
      <c r="B651" s="208"/>
    </row>
    <row r="652" spans="1:2" s="209" customFormat="1" ht="16.5" customHeight="1" x14ac:dyDescent="0.25">
      <c r="A652" s="207"/>
      <c r="B652" s="208"/>
    </row>
    <row r="653" spans="1:2" s="209" customFormat="1" ht="16.5" customHeight="1" x14ac:dyDescent="0.25">
      <c r="A653" s="207"/>
      <c r="B653" s="208"/>
    </row>
    <row r="654" spans="1:2" s="209" customFormat="1" ht="16.5" customHeight="1" x14ac:dyDescent="0.25">
      <c r="A654" s="207"/>
      <c r="B654" s="208"/>
    </row>
    <row r="655" spans="1:2" s="209" customFormat="1" ht="16.5" customHeight="1" x14ac:dyDescent="0.25">
      <c r="A655" s="207"/>
      <c r="B655" s="208"/>
    </row>
    <row r="656" spans="1:2" s="209" customFormat="1" ht="16.5" customHeight="1" x14ac:dyDescent="0.25">
      <c r="A656" s="207"/>
      <c r="B656" s="208"/>
    </row>
    <row r="657" spans="1:2" s="209" customFormat="1" ht="16.5" customHeight="1" x14ac:dyDescent="0.25">
      <c r="A657" s="207"/>
      <c r="B657" s="208"/>
    </row>
    <row r="658" spans="1:2" s="209" customFormat="1" ht="16.5" customHeight="1" x14ac:dyDescent="0.25">
      <c r="A658" s="207"/>
      <c r="B658" s="208"/>
    </row>
    <row r="659" spans="1:2" s="209" customFormat="1" ht="16.5" customHeight="1" x14ac:dyDescent="0.25">
      <c r="A659" s="207"/>
      <c r="B659" s="208"/>
    </row>
    <row r="660" spans="1:2" s="209" customFormat="1" ht="16.5" customHeight="1" x14ac:dyDescent="0.25">
      <c r="A660" s="207"/>
      <c r="B660" s="208"/>
    </row>
    <row r="661" spans="1:2" s="209" customFormat="1" ht="16.5" customHeight="1" x14ac:dyDescent="0.25">
      <c r="A661" s="207"/>
      <c r="B661" s="208"/>
    </row>
    <row r="662" spans="1:2" s="209" customFormat="1" ht="16.5" customHeight="1" x14ac:dyDescent="0.25">
      <c r="A662" s="207"/>
      <c r="B662" s="208"/>
    </row>
    <row r="663" spans="1:2" s="209" customFormat="1" ht="16.5" customHeight="1" x14ac:dyDescent="0.25">
      <c r="A663" s="207"/>
      <c r="B663" s="208"/>
    </row>
    <row r="664" spans="1:2" s="209" customFormat="1" ht="16.5" customHeight="1" x14ac:dyDescent="0.25">
      <c r="A664" s="207"/>
      <c r="B664" s="208"/>
    </row>
    <row r="665" spans="1:2" s="209" customFormat="1" ht="16.5" customHeight="1" x14ac:dyDescent="0.25">
      <c r="A665" s="207"/>
      <c r="B665" s="208"/>
    </row>
    <row r="666" spans="1:2" s="209" customFormat="1" ht="16.5" customHeight="1" x14ac:dyDescent="0.25">
      <c r="A666" s="207"/>
      <c r="B666" s="208"/>
    </row>
    <row r="667" spans="1:2" s="209" customFormat="1" ht="16.5" customHeight="1" x14ac:dyDescent="0.25">
      <c r="A667" s="207"/>
      <c r="B667" s="208"/>
    </row>
    <row r="668" spans="1:2" s="209" customFormat="1" ht="16.5" customHeight="1" x14ac:dyDescent="0.25">
      <c r="A668" s="207"/>
      <c r="B668" s="208"/>
    </row>
    <row r="669" spans="1:2" s="209" customFormat="1" ht="16.5" customHeight="1" x14ac:dyDescent="0.25">
      <c r="A669" s="207"/>
      <c r="B669" s="208"/>
    </row>
    <row r="670" spans="1:2" s="209" customFormat="1" ht="16.5" customHeight="1" x14ac:dyDescent="0.25">
      <c r="A670" s="207"/>
      <c r="B670" s="208"/>
    </row>
    <row r="671" spans="1:2" s="209" customFormat="1" ht="16.5" customHeight="1" x14ac:dyDescent="0.25">
      <c r="A671" s="207"/>
      <c r="B671" s="208"/>
    </row>
    <row r="672" spans="1:2" s="209" customFormat="1" ht="16.5" customHeight="1" x14ac:dyDescent="0.25">
      <c r="A672" s="207"/>
      <c r="B672" s="208"/>
    </row>
    <row r="673" spans="1:2" s="209" customFormat="1" ht="16.5" customHeight="1" x14ac:dyDescent="0.25">
      <c r="A673" s="207"/>
      <c r="B673" s="208"/>
    </row>
    <row r="674" spans="1:2" s="209" customFormat="1" ht="16.5" customHeight="1" x14ac:dyDescent="0.25">
      <c r="A674" s="207"/>
      <c r="B674" s="208"/>
    </row>
    <row r="675" spans="1:2" s="209" customFormat="1" ht="16.5" customHeight="1" x14ac:dyDescent="0.25">
      <c r="A675" s="207"/>
      <c r="B675" s="208"/>
    </row>
    <row r="676" spans="1:2" s="209" customFormat="1" ht="16.5" customHeight="1" x14ac:dyDescent="0.25">
      <c r="A676" s="207"/>
      <c r="B676" s="208"/>
    </row>
    <row r="677" spans="1:2" s="209" customFormat="1" ht="16.5" customHeight="1" x14ac:dyDescent="0.25">
      <c r="A677" s="207"/>
      <c r="B677" s="208"/>
    </row>
    <row r="678" spans="1:2" s="209" customFormat="1" ht="16.5" customHeight="1" x14ac:dyDescent="0.25">
      <c r="A678" s="207"/>
      <c r="B678" s="208"/>
    </row>
    <row r="679" spans="1:2" s="209" customFormat="1" ht="16.5" customHeight="1" x14ac:dyDescent="0.25">
      <c r="A679" s="207"/>
      <c r="B679" s="208"/>
    </row>
    <row r="680" spans="1:2" s="209" customFormat="1" ht="16.5" customHeight="1" x14ac:dyDescent="0.25">
      <c r="A680" s="207"/>
      <c r="B680" s="208"/>
    </row>
    <row r="681" spans="1:2" s="209" customFormat="1" ht="16.5" customHeight="1" x14ac:dyDescent="0.25">
      <c r="A681" s="207"/>
      <c r="B681" s="208"/>
    </row>
    <row r="682" spans="1:2" s="209" customFormat="1" ht="16.5" customHeight="1" x14ac:dyDescent="0.25">
      <c r="A682" s="207"/>
      <c r="B682" s="208"/>
    </row>
    <row r="683" spans="1:2" s="209" customFormat="1" ht="16.5" customHeight="1" x14ac:dyDescent="0.25">
      <c r="A683" s="207"/>
      <c r="B683" s="208"/>
    </row>
    <row r="684" spans="1:2" s="209" customFormat="1" ht="16.5" customHeight="1" x14ac:dyDescent="0.25">
      <c r="A684" s="207"/>
      <c r="B684" s="208"/>
    </row>
    <row r="685" spans="1:2" s="209" customFormat="1" ht="16.5" customHeight="1" x14ac:dyDescent="0.25">
      <c r="A685" s="207"/>
      <c r="B685" s="208"/>
    </row>
    <row r="686" spans="1:2" s="209" customFormat="1" ht="16.5" customHeight="1" x14ac:dyDescent="0.25">
      <c r="A686" s="207"/>
      <c r="B686" s="208"/>
    </row>
    <row r="687" spans="1:2" s="209" customFormat="1" ht="16.5" customHeight="1" x14ac:dyDescent="0.25">
      <c r="A687" s="207"/>
      <c r="B687" s="208"/>
    </row>
    <row r="688" spans="1:2" s="209" customFormat="1" ht="16.5" customHeight="1" x14ac:dyDescent="0.25">
      <c r="A688" s="207"/>
      <c r="B688" s="208"/>
    </row>
    <row r="689" spans="1:2" s="209" customFormat="1" ht="16.5" customHeight="1" x14ac:dyDescent="0.25">
      <c r="A689" s="207"/>
      <c r="B689" s="208"/>
    </row>
    <row r="690" spans="1:2" s="209" customFormat="1" ht="16.5" customHeight="1" x14ac:dyDescent="0.25">
      <c r="A690" s="207"/>
      <c r="B690" s="208"/>
    </row>
    <row r="691" spans="1:2" s="209" customFormat="1" ht="16.5" customHeight="1" x14ac:dyDescent="0.25">
      <c r="A691" s="207"/>
      <c r="B691" s="208"/>
    </row>
    <row r="692" spans="1:2" s="209" customFormat="1" ht="16.5" customHeight="1" x14ac:dyDescent="0.25">
      <c r="A692" s="207"/>
      <c r="B692" s="208"/>
    </row>
    <row r="693" spans="1:2" s="209" customFormat="1" ht="16.5" customHeight="1" x14ac:dyDescent="0.25">
      <c r="A693" s="207"/>
      <c r="B693" s="208"/>
    </row>
    <row r="694" spans="1:2" s="209" customFormat="1" ht="16.5" customHeight="1" x14ac:dyDescent="0.25">
      <c r="A694" s="207"/>
      <c r="B694" s="208"/>
    </row>
    <row r="695" spans="1:2" s="209" customFormat="1" ht="16.5" customHeight="1" x14ac:dyDescent="0.25">
      <c r="A695" s="207"/>
      <c r="B695" s="208"/>
    </row>
    <row r="696" spans="1:2" s="209" customFormat="1" ht="16.5" customHeight="1" x14ac:dyDescent="0.25">
      <c r="A696" s="207"/>
      <c r="B696" s="208"/>
    </row>
    <row r="697" spans="1:2" s="209" customFormat="1" ht="16.5" customHeight="1" x14ac:dyDescent="0.25">
      <c r="A697" s="207"/>
      <c r="B697" s="208"/>
    </row>
    <row r="698" spans="1:2" s="209" customFormat="1" ht="16.5" customHeight="1" x14ac:dyDescent="0.25">
      <c r="A698" s="207"/>
      <c r="B698" s="208"/>
    </row>
    <row r="699" spans="1:2" s="209" customFormat="1" ht="16.5" customHeight="1" x14ac:dyDescent="0.25">
      <c r="A699" s="207"/>
      <c r="B699" s="208"/>
    </row>
    <row r="700" spans="1:2" s="209" customFormat="1" ht="16.5" customHeight="1" x14ac:dyDescent="0.25">
      <c r="A700" s="207"/>
      <c r="B700" s="208"/>
    </row>
    <row r="701" spans="1:2" s="209" customFormat="1" ht="16.5" customHeight="1" x14ac:dyDescent="0.25">
      <c r="A701" s="207"/>
      <c r="B701" s="208"/>
    </row>
    <row r="702" spans="1:2" s="209" customFormat="1" ht="16.5" customHeight="1" x14ac:dyDescent="0.25">
      <c r="A702" s="207"/>
      <c r="B702" s="208"/>
    </row>
    <row r="703" spans="1:2" s="209" customFormat="1" ht="16.5" customHeight="1" x14ac:dyDescent="0.25">
      <c r="A703" s="207"/>
      <c r="B703" s="208"/>
    </row>
    <row r="704" spans="1:2" s="209" customFormat="1" ht="16.5" customHeight="1" x14ac:dyDescent="0.25">
      <c r="A704" s="207"/>
      <c r="B704" s="208"/>
    </row>
    <row r="705" spans="1:2" s="209" customFormat="1" ht="16.5" customHeight="1" x14ac:dyDescent="0.25">
      <c r="A705" s="207"/>
      <c r="B705" s="208"/>
    </row>
    <row r="706" spans="1:2" s="209" customFormat="1" ht="16.5" customHeight="1" x14ac:dyDescent="0.25">
      <c r="A706" s="207"/>
      <c r="B706" s="208"/>
    </row>
    <row r="707" spans="1:2" s="209" customFormat="1" ht="16.5" customHeight="1" x14ac:dyDescent="0.25">
      <c r="A707" s="207"/>
      <c r="B707" s="208"/>
    </row>
    <row r="708" spans="1:2" s="209" customFormat="1" ht="16.5" customHeight="1" x14ac:dyDescent="0.25">
      <c r="A708" s="207"/>
      <c r="B708" s="208"/>
    </row>
    <row r="709" spans="1:2" s="209" customFormat="1" ht="16.5" customHeight="1" x14ac:dyDescent="0.25">
      <c r="A709" s="207"/>
      <c r="B709" s="208"/>
    </row>
    <row r="710" spans="1:2" s="209" customFormat="1" ht="16.5" customHeight="1" x14ac:dyDescent="0.25">
      <c r="A710" s="207"/>
      <c r="B710" s="208"/>
    </row>
    <row r="711" spans="1:2" s="209" customFormat="1" ht="16.5" customHeight="1" x14ac:dyDescent="0.25">
      <c r="A711" s="207"/>
      <c r="B711" s="208"/>
    </row>
    <row r="712" spans="1:2" s="209" customFormat="1" ht="16.5" customHeight="1" x14ac:dyDescent="0.25">
      <c r="A712" s="207"/>
      <c r="B712" s="208"/>
    </row>
    <row r="713" spans="1:2" s="209" customFormat="1" ht="16.5" customHeight="1" x14ac:dyDescent="0.25">
      <c r="A713" s="207"/>
      <c r="B713" s="208"/>
    </row>
    <row r="714" spans="1:2" s="209" customFormat="1" ht="16.5" customHeight="1" x14ac:dyDescent="0.25">
      <c r="A714" s="207"/>
      <c r="B714" s="208"/>
    </row>
    <row r="715" spans="1:2" s="209" customFormat="1" ht="16.5" customHeight="1" x14ac:dyDescent="0.25">
      <c r="A715" s="207"/>
      <c r="B715" s="208"/>
    </row>
    <row r="716" spans="1:2" s="209" customFormat="1" ht="16.5" customHeight="1" x14ac:dyDescent="0.25">
      <c r="A716" s="207"/>
      <c r="B716" s="208"/>
    </row>
    <row r="717" spans="1:2" s="209" customFormat="1" ht="16.5" customHeight="1" x14ac:dyDescent="0.25">
      <c r="A717" s="207"/>
      <c r="B717" s="208"/>
    </row>
    <row r="718" spans="1:2" s="209" customFormat="1" ht="16.5" customHeight="1" x14ac:dyDescent="0.25">
      <c r="A718" s="207"/>
      <c r="B718" s="208"/>
    </row>
    <row r="719" spans="1:2" s="209" customFormat="1" ht="16.5" customHeight="1" x14ac:dyDescent="0.25">
      <c r="A719" s="207"/>
      <c r="B719" s="208"/>
    </row>
    <row r="720" spans="1:2" s="209" customFormat="1" ht="16.5" customHeight="1" x14ac:dyDescent="0.25">
      <c r="A720" s="207"/>
      <c r="B720" s="208"/>
    </row>
    <row r="721" spans="1:2" s="209" customFormat="1" ht="16.5" customHeight="1" x14ac:dyDescent="0.25">
      <c r="A721" s="207"/>
      <c r="B721" s="208"/>
    </row>
    <row r="722" spans="1:2" s="209" customFormat="1" ht="16.5" customHeight="1" x14ac:dyDescent="0.25">
      <c r="A722" s="207"/>
      <c r="B722" s="208"/>
    </row>
    <row r="723" spans="1:2" s="209" customFormat="1" ht="16.5" customHeight="1" x14ac:dyDescent="0.25">
      <c r="A723" s="207"/>
      <c r="B723" s="208"/>
    </row>
    <row r="724" spans="1:2" s="209" customFormat="1" ht="16.5" customHeight="1" x14ac:dyDescent="0.25">
      <c r="A724" s="207"/>
      <c r="B724" s="208"/>
    </row>
    <row r="725" spans="1:2" s="209" customFormat="1" ht="16.5" customHeight="1" x14ac:dyDescent="0.25">
      <c r="A725" s="207"/>
      <c r="B725" s="208"/>
    </row>
    <row r="726" spans="1:2" s="209" customFormat="1" ht="16.5" customHeight="1" x14ac:dyDescent="0.25">
      <c r="A726" s="207"/>
      <c r="B726" s="208"/>
    </row>
    <row r="727" spans="1:2" s="209" customFormat="1" ht="16.5" customHeight="1" x14ac:dyDescent="0.25">
      <c r="A727" s="207"/>
      <c r="B727" s="208"/>
    </row>
    <row r="728" spans="1:2" s="209" customFormat="1" ht="16.5" customHeight="1" x14ac:dyDescent="0.25">
      <c r="A728" s="207"/>
      <c r="B728" s="208"/>
    </row>
    <row r="729" spans="1:2" s="209" customFormat="1" ht="16.5" customHeight="1" x14ac:dyDescent="0.25">
      <c r="A729" s="207"/>
      <c r="B729" s="208"/>
    </row>
    <row r="730" spans="1:2" s="209" customFormat="1" ht="16.5" customHeight="1" x14ac:dyDescent="0.25">
      <c r="A730" s="207"/>
      <c r="B730" s="208"/>
    </row>
    <row r="731" spans="1:2" s="209" customFormat="1" ht="16.5" customHeight="1" x14ac:dyDescent="0.25">
      <c r="A731" s="207"/>
      <c r="B731" s="208"/>
    </row>
    <row r="732" spans="1:2" s="209" customFormat="1" ht="16.5" customHeight="1" x14ac:dyDescent="0.25">
      <c r="A732" s="207"/>
      <c r="B732" s="208"/>
    </row>
    <row r="733" spans="1:2" s="209" customFormat="1" ht="16.5" customHeight="1" x14ac:dyDescent="0.25">
      <c r="A733" s="207"/>
      <c r="B733" s="208"/>
    </row>
    <row r="734" spans="1:2" s="209" customFormat="1" ht="16.5" customHeight="1" x14ac:dyDescent="0.25">
      <c r="A734" s="207"/>
      <c r="B734" s="208"/>
    </row>
    <row r="735" spans="1:2" s="209" customFormat="1" ht="16.5" customHeight="1" x14ac:dyDescent="0.25">
      <c r="A735" s="207"/>
      <c r="B735" s="208"/>
    </row>
    <row r="736" spans="1:2" s="209" customFormat="1" ht="16.5" customHeight="1" x14ac:dyDescent="0.25">
      <c r="A736" s="207"/>
      <c r="B736" s="208"/>
    </row>
    <row r="737" spans="1:2" s="209" customFormat="1" ht="16.5" customHeight="1" x14ac:dyDescent="0.25">
      <c r="A737" s="207"/>
      <c r="B737" s="208"/>
    </row>
    <row r="738" spans="1:2" s="209" customFormat="1" ht="16.5" customHeight="1" x14ac:dyDescent="0.25">
      <c r="A738" s="207"/>
      <c r="B738" s="208"/>
    </row>
    <row r="739" spans="1:2" s="209" customFormat="1" ht="16.5" customHeight="1" x14ac:dyDescent="0.25">
      <c r="A739" s="207"/>
      <c r="B739" s="208"/>
    </row>
    <row r="740" spans="1:2" s="209" customFormat="1" ht="16.5" customHeight="1" x14ac:dyDescent="0.25">
      <c r="A740" s="207"/>
      <c r="B740" s="208"/>
    </row>
    <row r="741" spans="1:2" s="209" customFormat="1" ht="16.5" customHeight="1" x14ac:dyDescent="0.25">
      <c r="A741" s="207"/>
      <c r="B741" s="208"/>
    </row>
    <row r="742" spans="1:2" s="209" customFormat="1" ht="16.5" customHeight="1" x14ac:dyDescent="0.25">
      <c r="A742" s="207"/>
      <c r="B742" s="208"/>
    </row>
    <row r="743" spans="1:2" s="209" customFormat="1" ht="16.5" customHeight="1" x14ac:dyDescent="0.25">
      <c r="A743" s="207"/>
      <c r="B743" s="208"/>
    </row>
    <row r="744" spans="1:2" s="209" customFormat="1" ht="16.5" customHeight="1" x14ac:dyDescent="0.25">
      <c r="A744" s="207"/>
      <c r="B744" s="208"/>
    </row>
    <row r="745" spans="1:2" s="209" customFormat="1" ht="16.5" customHeight="1" x14ac:dyDescent="0.25">
      <c r="A745" s="207"/>
      <c r="B745" s="208"/>
    </row>
    <row r="746" spans="1:2" s="209" customFormat="1" ht="16.5" customHeight="1" x14ac:dyDescent="0.25">
      <c r="A746" s="207"/>
      <c r="B746" s="208"/>
    </row>
    <row r="747" spans="1:2" s="209" customFormat="1" ht="16.5" customHeight="1" x14ac:dyDescent="0.25">
      <c r="A747" s="207"/>
      <c r="B747" s="208"/>
    </row>
    <row r="748" spans="1:2" s="209" customFormat="1" ht="16.5" customHeight="1" x14ac:dyDescent="0.25">
      <c r="A748" s="207"/>
      <c r="B748" s="208"/>
    </row>
    <row r="749" spans="1:2" s="209" customFormat="1" ht="16.5" customHeight="1" x14ac:dyDescent="0.25">
      <c r="A749" s="207"/>
      <c r="B749" s="208"/>
    </row>
    <row r="750" spans="1:2" s="209" customFormat="1" ht="16.5" customHeight="1" x14ac:dyDescent="0.25">
      <c r="A750" s="207"/>
      <c r="B750" s="208"/>
    </row>
    <row r="751" spans="1:2" s="209" customFormat="1" ht="16.5" customHeight="1" x14ac:dyDescent="0.25">
      <c r="A751" s="207"/>
      <c r="B751" s="208"/>
    </row>
    <row r="752" spans="1:2" s="209" customFormat="1" ht="16.5" customHeight="1" x14ac:dyDescent="0.25">
      <c r="A752" s="207"/>
      <c r="B752" s="208"/>
    </row>
    <row r="753" spans="1:2" s="209" customFormat="1" ht="16.5" customHeight="1" x14ac:dyDescent="0.25">
      <c r="A753" s="207"/>
      <c r="B753" s="208"/>
    </row>
    <row r="754" spans="1:2" s="209" customFormat="1" ht="16.5" customHeight="1" x14ac:dyDescent="0.25">
      <c r="A754" s="207"/>
      <c r="B754" s="208"/>
    </row>
    <row r="755" spans="1:2" s="209" customFormat="1" ht="16.5" customHeight="1" x14ac:dyDescent="0.25">
      <c r="A755" s="207"/>
      <c r="B755" s="208"/>
    </row>
    <row r="756" spans="1:2" s="209" customFormat="1" ht="16.5" customHeight="1" x14ac:dyDescent="0.25">
      <c r="A756" s="207"/>
      <c r="B756" s="208"/>
    </row>
    <row r="757" spans="1:2" s="209" customFormat="1" ht="16.5" customHeight="1" x14ac:dyDescent="0.25">
      <c r="A757" s="207"/>
      <c r="B757" s="208"/>
    </row>
    <row r="758" spans="1:2" s="209" customFormat="1" ht="16.5" customHeight="1" x14ac:dyDescent="0.25">
      <c r="A758" s="207"/>
      <c r="B758" s="208"/>
    </row>
    <row r="759" spans="1:2" s="209" customFormat="1" ht="16.5" customHeight="1" x14ac:dyDescent="0.25">
      <c r="A759" s="207"/>
      <c r="B759" s="208"/>
    </row>
    <row r="760" spans="1:2" s="209" customFormat="1" ht="16.5" customHeight="1" x14ac:dyDescent="0.25">
      <c r="A760" s="207"/>
      <c r="B760" s="208"/>
    </row>
    <row r="761" spans="1:2" s="209" customFormat="1" ht="16.5" customHeight="1" x14ac:dyDescent="0.25">
      <c r="A761" s="207"/>
      <c r="B761" s="208"/>
    </row>
    <row r="762" spans="1:2" s="209" customFormat="1" ht="16.5" customHeight="1" x14ac:dyDescent="0.25">
      <c r="A762" s="207"/>
      <c r="B762" s="208"/>
    </row>
    <row r="763" spans="1:2" s="209" customFormat="1" ht="16.5" customHeight="1" x14ac:dyDescent="0.25">
      <c r="A763" s="207"/>
      <c r="B763" s="208"/>
    </row>
    <row r="764" spans="1:2" s="209" customFormat="1" ht="16.5" customHeight="1" x14ac:dyDescent="0.25">
      <c r="A764" s="207"/>
      <c r="B764" s="208"/>
    </row>
    <row r="765" spans="1:2" s="209" customFormat="1" ht="16.5" customHeight="1" x14ac:dyDescent="0.25">
      <c r="A765" s="207"/>
      <c r="B765" s="208"/>
    </row>
    <row r="766" spans="1:2" s="209" customFormat="1" ht="16.5" customHeight="1" x14ac:dyDescent="0.25">
      <c r="A766" s="207"/>
      <c r="B766" s="208"/>
    </row>
    <row r="767" spans="1:2" s="209" customFormat="1" ht="16.5" customHeight="1" x14ac:dyDescent="0.25">
      <c r="A767" s="207"/>
      <c r="B767" s="208"/>
    </row>
    <row r="768" spans="1:2" s="209" customFormat="1" ht="16.5" customHeight="1" x14ac:dyDescent="0.25">
      <c r="A768" s="207"/>
      <c r="B768" s="208"/>
    </row>
    <row r="769" spans="1:2" s="209" customFormat="1" ht="16.5" customHeight="1" x14ac:dyDescent="0.25">
      <c r="A769" s="207"/>
      <c r="B769" s="208"/>
    </row>
    <row r="770" spans="1:2" s="209" customFormat="1" ht="16.5" customHeight="1" x14ac:dyDescent="0.25">
      <c r="A770" s="207"/>
      <c r="B770" s="208"/>
    </row>
    <row r="771" spans="1:2" s="209" customFormat="1" ht="16.5" customHeight="1" x14ac:dyDescent="0.25">
      <c r="A771" s="207"/>
      <c r="B771" s="208"/>
    </row>
    <row r="772" spans="1:2" s="209" customFormat="1" ht="16.5" customHeight="1" x14ac:dyDescent="0.25">
      <c r="A772" s="207"/>
      <c r="B772" s="208"/>
    </row>
    <row r="773" spans="1:2" s="209" customFormat="1" ht="16.5" customHeight="1" x14ac:dyDescent="0.25">
      <c r="A773" s="207"/>
      <c r="B773" s="208"/>
    </row>
    <row r="774" spans="1:2" s="209" customFormat="1" ht="16.5" customHeight="1" x14ac:dyDescent="0.25">
      <c r="A774" s="207"/>
      <c r="B774" s="208"/>
    </row>
    <row r="775" spans="1:2" s="209" customFormat="1" ht="16.5" customHeight="1" x14ac:dyDescent="0.25">
      <c r="A775" s="207"/>
      <c r="B775" s="208"/>
    </row>
    <row r="776" spans="1:2" s="209" customFormat="1" ht="16.5" customHeight="1" x14ac:dyDescent="0.25">
      <c r="A776" s="207"/>
      <c r="B776" s="208"/>
    </row>
    <row r="777" spans="1:2" s="209" customFormat="1" ht="16.5" customHeight="1" x14ac:dyDescent="0.25">
      <c r="A777" s="207"/>
      <c r="B777" s="208"/>
    </row>
    <row r="778" spans="1:2" s="209" customFormat="1" ht="16.5" customHeight="1" x14ac:dyDescent="0.25">
      <c r="A778" s="207"/>
      <c r="B778" s="208"/>
    </row>
    <row r="779" spans="1:2" s="209" customFormat="1" ht="16.5" customHeight="1" x14ac:dyDescent="0.25">
      <c r="A779" s="207"/>
      <c r="B779" s="208"/>
    </row>
    <row r="780" spans="1:2" s="209" customFormat="1" ht="16.5" customHeight="1" x14ac:dyDescent="0.25">
      <c r="A780" s="207"/>
      <c r="B780" s="208"/>
    </row>
    <row r="781" spans="1:2" s="209" customFormat="1" ht="16.5" customHeight="1" x14ac:dyDescent="0.25">
      <c r="A781" s="207"/>
      <c r="B781" s="208"/>
    </row>
    <row r="782" spans="1:2" s="209" customFormat="1" ht="16.5" customHeight="1" x14ac:dyDescent="0.25">
      <c r="A782" s="207"/>
      <c r="B782" s="208"/>
    </row>
    <row r="783" spans="1:2" s="209" customFormat="1" ht="16.5" customHeight="1" x14ac:dyDescent="0.25">
      <c r="A783" s="207"/>
      <c r="B783" s="208"/>
    </row>
    <row r="784" spans="1:2" s="209" customFormat="1" ht="16.5" customHeight="1" x14ac:dyDescent="0.25">
      <c r="A784" s="207"/>
      <c r="B784" s="208"/>
    </row>
    <row r="785" spans="1:2" s="209" customFormat="1" ht="16.5" customHeight="1" x14ac:dyDescent="0.25">
      <c r="A785" s="207"/>
      <c r="B785" s="208"/>
    </row>
    <row r="786" spans="1:2" s="209" customFormat="1" ht="16.5" customHeight="1" x14ac:dyDescent="0.25">
      <c r="A786" s="207"/>
      <c r="B786" s="208"/>
    </row>
    <row r="787" spans="1:2" s="209" customFormat="1" ht="16.5" customHeight="1" x14ac:dyDescent="0.25">
      <c r="A787" s="207"/>
      <c r="B787" s="208"/>
    </row>
    <row r="788" spans="1:2" s="209" customFormat="1" ht="16.5" customHeight="1" x14ac:dyDescent="0.25">
      <c r="A788" s="207"/>
      <c r="B788" s="208"/>
    </row>
    <row r="789" spans="1:2" s="209" customFormat="1" ht="16.5" customHeight="1" x14ac:dyDescent="0.25">
      <c r="A789" s="207"/>
      <c r="B789" s="208"/>
    </row>
    <row r="790" spans="1:2" s="209" customFormat="1" ht="16.5" customHeight="1" x14ac:dyDescent="0.25">
      <c r="A790" s="207"/>
      <c r="B790" s="208"/>
    </row>
    <row r="791" spans="1:2" s="209" customFormat="1" ht="16.5" customHeight="1" x14ac:dyDescent="0.25">
      <c r="A791" s="207"/>
      <c r="B791" s="208"/>
    </row>
    <row r="792" spans="1:2" s="209" customFormat="1" ht="16.5" customHeight="1" x14ac:dyDescent="0.25">
      <c r="A792" s="207"/>
      <c r="B792" s="208"/>
    </row>
    <row r="793" spans="1:2" s="209" customFormat="1" ht="16.5" customHeight="1" x14ac:dyDescent="0.25">
      <c r="A793" s="207"/>
      <c r="B793" s="208"/>
    </row>
    <row r="794" spans="1:2" s="209" customFormat="1" ht="16.5" customHeight="1" x14ac:dyDescent="0.25">
      <c r="A794" s="207"/>
      <c r="B794" s="208"/>
    </row>
    <row r="795" spans="1:2" s="209" customFormat="1" ht="16.5" customHeight="1" x14ac:dyDescent="0.25">
      <c r="A795" s="207"/>
      <c r="B795" s="208"/>
    </row>
    <row r="796" spans="1:2" s="209" customFormat="1" ht="16.5" customHeight="1" x14ac:dyDescent="0.25">
      <c r="A796" s="207"/>
      <c r="B796" s="208"/>
    </row>
    <row r="797" spans="1:2" s="209" customFormat="1" ht="16.5" customHeight="1" x14ac:dyDescent="0.25">
      <c r="A797" s="207"/>
      <c r="B797" s="208"/>
    </row>
    <row r="798" spans="1:2" s="209" customFormat="1" ht="16.5" customHeight="1" x14ac:dyDescent="0.25">
      <c r="A798" s="207"/>
      <c r="B798" s="208"/>
    </row>
    <row r="799" spans="1:2" s="209" customFormat="1" ht="16.5" customHeight="1" x14ac:dyDescent="0.25">
      <c r="A799" s="207"/>
      <c r="B799" s="208"/>
    </row>
    <row r="800" spans="1:2" s="209" customFormat="1" ht="16.5" customHeight="1" x14ac:dyDescent="0.25">
      <c r="A800" s="207"/>
      <c r="B800" s="208"/>
    </row>
    <row r="801" spans="1:2" s="209" customFormat="1" ht="16.5" customHeight="1" x14ac:dyDescent="0.25">
      <c r="A801" s="207"/>
      <c r="B801" s="208"/>
    </row>
    <row r="802" spans="1:2" s="209" customFormat="1" ht="16.5" customHeight="1" x14ac:dyDescent="0.25">
      <c r="A802" s="207"/>
      <c r="B802" s="208"/>
    </row>
    <row r="803" spans="1:2" s="209" customFormat="1" ht="16.5" customHeight="1" x14ac:dyDescent="0.25">
      <c r="A803" s="207"/>
      <c r="B803" s="208"/>
    </row>
    <row r="804" spans="1:2" s="209" customFormat="1" ht="16.5" customHeight="1" x14ac:dyDescent="0.25">
      <c r="A804" s="207"/>
      <c r="B804" s="208"/>
    </row>
    <row r="805" spans="1:2" s="209" customFormat="1" ht="16.5" customHeight="1" x14ac:dyDescent="0.25">
      <c r="A805" s="207"/>
      <c r="B805" s="208"/>
    </row>
    <row r="806" spans="1:2" s="209" customFormat="1" ht="16.5" customHeight="1" x14ac:dyDescent="0.25">
      <c r="A806" s="207"/>
      <c r="B806" s="208"/>
    </row>
    <row r="807" spans="1:2" s="209" customFormat="1" ht="16.5" customHeight="1" x14ac:dyDescent="0.25">
      <c r="A807" s="207"/>
      <c r="B807" s="208"/>
    </row>
    <row r="808" spans="1:2" s="209" customFormat="1" ht="16.5" customHeight="1" x14ac:dyDescent="0.25">
      <c r="A808" s="207"/>
      <c r="B808" s="208"/>
    </row>
    <row r="809" spans="1:2" s="209" customFormat="1" ht="16.5" customHeight="1" x14ac:dyDescent="0.25">
      <c r="A809" s="207"/>
      <c r="B809" s="208"/>
    </row>
    <row r="810" spans="1:2" s="209" customFormat="1" ht="16.5" customHeight="1" x14ac:dyDescent="0.25">
      <c r="A810" s="207"/>
      <c r="B810" s="208"/>
    </row>
    <row r="811" spans="1:2" s="209" customFormat="1" ht="16.5" customHeight="1" x14ac:dyDescent="0.25">
      <c r="A811" s="207"/>
      <c r="B811" s="208"/>
    </row>
    <row r="812" spans="1:2" s="209" customFormat="1" ht="16.5" customHeight="1" x14ac:dyDescent="0.25">
      <c r="A812" s="207"/>
      <c r="B812" s="208"/>
    </row>
    <row r="813" spans="1:2" s="209" customFormat="1" ht="16.5" customHeight="1" x14ac:dyDescent="0.25">
      <c r="A813" s="207"/>
      <c r="B813" s="208"/>
    </row>
    <row r="814" spans="1:2" s="209" customFormat="1" ht="16.5" customHeight="1" x14ac:dyDescent="0.25">
      <c r="A814" s="207"/>
      <c r="B814" s="208"/>
    </row>
    <row r="815" spans="1:2" s="209" customFormat="1" ht="16.5" customHeight="1" x14ac:dyDescent="0.25">
      <c r="A815" s="207"/>
      <c r="B815" s="208"/>
    </row>
    <row r="816" spans="1:2" s="209" customFormat="1" ht="16.5" customHeight="1" x14ac:dyDescent="0.25">
      <c r="A816" s="207"/>
      <c r="B816" s="208"/>
    </row>
    <row r="817" spans="1:2" s="209" customFormat="1" ht="16.5" customHeight="1" x14ac:dyDescent="0.25">
      <c r="A817" s="207"/>
      <c r="B817" s="208"/>
    </row>
    <row r="818" spans="1:2" s="209" customFormat="1" ht="16.5" customHeight="1" x14ac:dyDescent="0.25">
      <c r="A818" s="207"/>
      <c r="B818" s="208"/>
    </row>
    <row r="819" spans="1:2" s="209" customFormat="1" ht="16.5" customHeight="1" x14ac:dyDescent="0.25">
      <c r="A819" s="207"/>
      <c r="B819" s="208"/>
    </row>
    <row r="820" spans="1:2" s="209" customFormat="1" ht="16.5" customHeight="1" x14ac:dyDescent="0.25">
      <c r="A820" s="207"/>
      <c r="B820" s="208"/>
    </row>
    <row r="821" spans="1:2" s="209" customFormat="1" ht="16.5" customHeight="1" x14ac:dyDescent="0.25">
      <c r="A821" s="207"/>
      <c r="B821" s="208"/>
    </row>
    <row r="822" spans="1:2" s="209" customFormat="1" ht="16.5" customHeight="1" x14ac:dyDescent="0.25">
      <c r="A822" s="207"/>
      <c r="B822" s="208"/>
    </row>
    <row r="823" spans="1:2" s="209" customFormat="1" ht="16.5" customHeight="1" x14ac:dyDescent="0.25">
      <c r="A823" s="207"/>
      <c r="B823" s="208"/>
    </row>
    <row r="824" spans="1:2" s="209" customFormat="1" ht="16.5" customHeight="1" x14ac:dyDescent="0.25">
      <c r="A824" s="207"/>
      <c r="B824" s="208"/>
    </row>
    <row r="825" spans="1:2" s="209" customFormat="1" ht="16.5" customHeight="1" x14ac:dyDescent="0.25">
      <c r="A825" s="207"/>
      <c r="B825" s="208"/>
    </row>
    <row r="826" spans="1:2" s="209" customFormat="1" ht="16.5" customHeight="1" x14ac:dyDescent="0.25">
      <c r="A826" s="207"/>
      <c r="B826" s="208"/>
    </row>
    <row r="827" spans="1:2" s="209" customFormat="1" ht="16.5" customHeight="1" x14ac:dyDescent="0.25">
      <c r="A827" s="207"/>
      <c r="B827" s="208"/>
    </row>
    <row r="828" spans="1:2" s="209" customFormat="1" ht="16.5" customHeight="1" x14ac:dyDescent="0.25">
      <c r="A828" s="207"/>
      <c r="B828" s="208"/>
    </row>
    <row r="829" spans="1:2" s="209" customFormat="1" ht="16.5" customHeight="1" x14ac:dyDescent="0.25">
      <c r="A829" s="207"/>
      <c r="B829" s="208"/>
    </row>
    <row r="830" spans="1:2" s="209" customFormat="1" ht="16.5" customHeight="1" x14ac:dyDescent="0.25">
      <c r="A830" s="207"/>
      <c r="B830" s="208"/>
    </row>
    <row r="831" spans="1:2" s="209" customFormat="1" ht="16.5" customHeight="1" x14ac:dyDescent="0.25">
      <c r="A831" s="207"/>
      <c r="B831" s="208"/>
    </row>
    <row r="832" spans="1:2" s="209" customFormat="1" ht="16.5" customHeight="1" x14ac:dyDescent="0.25">
      <c r="A832" s="207"/>
      <c r="B832" s="208"/>
    </row>
    <row r="833" spans="1:2" s="209" customFormat="1" ht="16.5" customHeight="1" x14ac:dyDescent="0.25">
      <c r="A833" s="207"/>
      <c r="B833" s="208"/>
    </row>
    <row r="834" spans="1:2" s="209" customFormat="1" ht="16.5" customHeight="1" x14ac:dyDescent="0.25">
      <c r="A834" s="207"/>
      <c r="B834" s="208"/>
    </row>
    <row r="835" spans="1:2" s="209" customFormat="1" ht="16.5" customHeight="1" x14ac:dyDescent="0.25">
      <c r="A835" s="207"/>
      <c r="B835" s="208"/>
    </row>
    <row r="836" spans="1:2" s="209" customFormat="1" ht="16.5" customHeight="1" x14ac:dyDescent="0.25">
      <c r="A836" s="207"/>
      <c r="B836" s="208"/>
    </row>
    <row r="837" spans="1:2" s="209" customFormat="1" ht="16.5" customHeight="1" x14ac:dyDescent="0.25">
      <c r="A837" s="207"/>
      <c r="B837" s="208"/>
    </row>
    <row r="838" spans="1:2" s="209" customFormat="1" ht="16.5" customHeight="1" x14ac:dyDescent="0.25">
      <c r="A838" s="207"/>
      <c r="B838" s="208"/>
    </row>
    <row r="839" spans="1:2" s="209" customFormat="1" ht="16.5" customHeight="1" x14ac:dyDescent="0.25">
      <c r="A839" s="207"/>
      <c r="B839" s="208"/>
    </row>
    <row r="840" spans="1:2" s="209" customFormat="1" ht="16.5" customHeight="1" x14ac:dyDescent="0.25">
      <c r="A840" s="207"/>
      <c r="B840" s="208"/>
    </row>
    <row r="841" spans="1:2" s="209" customFormat="1" ht="16.5" customHeight="1" x14ac:dyDescent="0.25">
      <c r="A841" s="207"/>
      <c r="B841" s="208"/>
    </row>
    <row r="842" spans="1:2" s="209" customFormat="1" ht="16.5" customHeight="1" x14ac:dyDescent="0.25">
      <c r="A842" s="207"/>
      <c r="B842" s="208"/>
    </row>
    <row r="843" spans="1:2" s="209" customFormat="1" ht="16.5" customHeight="1" x14ac:dyDescent="0.25">
      <c r="A843" s="207"/>
      <c r="B843" s="208"/>
    </row>
    <row r="844" spans="1:2" s="209" customFormat="1" ht="16.5" customHeight="1" x14ac:dyDescent="0.25">
      <c r="A844" s="207"/>
      <c r="B844" s="208"/>
    </row>
    <row r="845" spans="1:2" s="209" customFormat="1" ht="16.5" customHeight="1" x14ac:dyDescent="0.25">
      <c r="A845" s="207"/>
      <c r="B845" s="208"/>
    </row>
    <row r="846" spans="1:2" s="209" customFormat="1" ht="16.5" customHeight="1" x14ac:dyDescent="0.25">
      <c r="A846" s="207"/>
      <c r="B846" s="208"/>
    </row>
    <row r="847" spans="1:2" s="209" customFormat="1" ht="16.5" customHeight="1" x14ac:dyDescent="0.25">
      <c r="A847" s="207"/>
      <c r="B847" s="208"/>
    </row>
    <row r="848" spans="1:2" s="209" customFormat="1" ht="16.5" customHeight="1" x14ac:dyDescent="0.25">
      <c r="A848" s="207"/>
      <c r="B848" s="208"/>
    </row>
    <row r="849" spans="1:2" s="209" customFormat="1" ht="16.5" customHeight="1" x14ac:dyDescent="0.25">
      <c r="A849" s="207"/>
      <c r="B849" s="208"/>
    </row>
    <row r="850" spans="1:2" s="209" customFormat="1" ht="16.5" customHeight="1" x14ac:dyDescent="0.25">
      <c r="A850" s="207"/>
      <c r="B850" s="208"/>
    </row>
    <row r="851" spans="1:2" s="209" customFormat="1" ht="16.5" customHeight="1" x14ac:dyDescent="0.25">
      <c r="A851" s="207"/>
      <c r="B851" s="208"/>
    </row>
    <row r="852" spans="1:2" s="209" customFormat="1" ht="16.5" customHeight="1" x14ac:dyDescent="0.25">
      <c r="A852" s="207"/>
      <c r="B852" s="208"/>
    </row>
    <row r="853" spans="1:2" s="209" customFormat="1" ht="16.5" customHeight="1" x14ac:dyDescent="0.25">
      <c r="A853" s="207"/>
      <c r="B853" s="208"/>
    </row>
    <row r="854" spans="1:2" s="209" customFormat="1" ht="16.5" customHeight="1" x14ac:dyDescent="0.25">
      <c r="A854" s="207"/>
      <c r="B854" s="208"/>
    </row>
    <row r="855" spans="1:2" s="209" customFormat="1" ht="16.5" customHeight="1" x14ac:dyDescent="0.25">
      <c r="A855" s="207"/>
      <c r="B855" s="208"/>
    </row>
    <row r="856" spans="1:2" s="209" customFormat="1" ht="16.5" customHeight="1" x14ac:dyDescent="0.25">
      <c r="A856" s="207"/>
      <c r="B856" s="208"/>
    </row>
    <row r="857" spans="1:2" s="209" customFormat="1" ht="16.5" customHeight="1" x14ac:dyDescent="0.25">
      <c r="A857" s="207"/>
      <c r="B857" s="208"/>
    </row>
    <row r="858" spans="1:2" s="209" customFormat="1" ht="16.5" customHeight="1" x14ac:dyDescent="0.25">
      <c r="A858" s="207"/>
      <c r="B858" s="208"/>
    </row>
    <row r="859" spans="1:2" s="209" customFormat="1" ht="16.5" customHeight="1" x14ac:dyDescent="0.25">
      <c r="A859" s="207"/>
      <c r="B859" s="208"/>
    </row>
    <row r="860" spans="1:2" s="209" customFormat="1" ht="16.5" customHeight="1" x14ac:dyDescent="0.25">
      <c r="A860" s="207"/>
      <c r="B860" s="208"/>
    </row>
    <row r="861" spans="1:2" s="209" customFormat="1" ht="16.5" customHeight="1" x14ac:dyDescent="0.25">
      <c r="A861" s="207"/>
      <c r="B861" s="208"/>
    </row>
    <row r="862" spans="1:2" s="209" customFormat="1" ht="16.5" customHeight="1" x14ac:dyDescent="0.25">
      <c r="A862" s="207"/>
      <c r="B862" s="208"/>
    </row>
    <row r="863" spans="1:2" s="209" customFormat="1" ht="16.5" customHeight="1" x14ac:dyDescent="0.25">
      <c r="A863" s="207"/>
      <c r="B863" s="208"/>
    </row>
    <row r="864" spans="1:2" s="209" customFormat="1" ht="16.5" customHeight="1" x14ac:dyDescent="0.25">
      <c r="A864" s="207"/>
      <c r="B864" s="208"/>
    </row>
    <row r="865" spans="1:2" s="209" customFormat="1" ht="16.5" customHeight="1" x14ac:dyDescent="0.25">
      <c r="A865" s="207"/>
      <c r="B865" s="208"/>
    </row>
    <row r="866" spans="1:2" s="209" customFormat="1" ht="16.5" customHeight="1" x14ac:dyDescent="0.25">
      <c r="A866" s="207"/>
      <c r="B866" s="208"/>
    </row>
    <row r="867" spans="1:2" s="209" customFormat="1" ht="16.5" customHeight="1" x14ac:dyDescent="0.25">
      <c r="A867" s="207"/>
      <c r="B867" s="208"/>
    </row>
    <row r="868" spans="1:2" s="209" customFormat="1" ht="16.5" customHeight="1" x14ac:dyDescent="0.25">
      <c r="A868" s="207"/>
      <c r="B868" s="208"/>
    </row>
    <row r="869" spans="1:2" s="209" customFormat="1" ht="16.5" customHeight="1" x14ac:dyDescent="0.25">
      <c r="A869" s="207"/>
      <c r="B869" s="208"/>
    </row>
    <row r="870" spans="1:2" s="209" customFormat="1" ht="16.5" customHeight="1" x14ac:dyDescent="0.25">
      <c r="A870" s="207"/>
      <c r="B870" s="208"/>
    </row>
    <row r="871" spans="1:2" s="209" customFormat="1" ht="16.5" customHeight="1" x14ac:dyDescent="0.25">
      <c r="A871" s="207"/>
      <c r="B871" s="208"/>
    </row>
    <row r="872" spans="1:2" s="209" customFormat="1" ht="16.5" customHeight="1" x14ac:dyDescent="0.25">
      <c r="A872" s="207"/>
      <c r="B872" s="208"/>
    </row>
    <row r="873" spans="1:2" s="209" customFormat="1" ht="16.5" customHeight="1" x14ac:dyDescent="0.25">
      <c r="A873" s="207"/>
      <c r="B873" s="208"/>
    </row>
    <row r="874" spans="1:2" s="209" customFormat="1" ht="16.5" customHeight="1" x14ac:dyDescent="0.25">
      <c r="A874" s="207"/>
      <c r="B874" s="208"/>
    </row>
    <row r="875" spans="1:2" s="209" customFormat="1" ht="16.5" customHeight="1" x14ac:dyDescent="0.25">
      <c r="A875" s="207"/>
      <c r="B875" s="208"/>
    </row>
    <row r="876" spans="1:2" s="209" customFormat="1" ht="16.5" customHeight="1" x14ac:dyDescent="0.25">
      <c r="A876" s="207"/>
      <c r="B876" s="208"/>
    </row>
    <row r="877" spans="1:2" s="209" customFormat="1" ht="16.5" customHeight="1" x14ac:dyDescent="0.25">
      <c r="A877" s="207"/>
      <c r="B877" s="208"/>
    </row>
    <row r="878" spans="1:2" s="209" customFormat="1" ht="16.5" customHeight="1" x14ac:dyDescent="0.25">
      <c r="A878" s="207"/>
      <c r="B878" s="208"/>
    </row>
    <row r="879" spans="1:2" s="209" customFormat="1" ht="16.5" customHeight="1" x14ac:dyDescent="0.25">
      <c r="A879" s="207"/>
      <c r="B879" s="208"/>
    </row>
    <row r="880" spans="1:2" s="209" customFormat="1" ht="16.5" customHeight="1" x14ac:dyDescent="0.25">
      <c r="A880" s="207"/>
      <c r="B880" s="208"/>
    </row>
    <row r="881" spans="1:2" s="209" customFormat="1" ht="16.5" customHeight="1" x14ac:dyDescent="0.25">
      <c r="A881" s="207"/>
      <c r="B881" s="208"/>
    </row>
    <row r="882" spans="1:2" s="209" customFormat="1" ht="16.5" customHeight="1" x14ac:dyDescent="0.25">
      <c r="A882" s="207"/>
      <c r="B882" s="208"/>
    </row>
    <row r="883" spans="1:2" s="209" customFormat="1" ht="16.5" customHeight="1" x14ac:dyDescent="0.25">
      <c r="A883" s="207"/>
      <c r="B883" s="208"/>
    </row>
    <row r="884" spans="1:2" s="209" customFormat="1" ht="16.5" customHeight="1" x14ac:dyDescent="0.25">
      <c r="A884" s="207"/>
      <c r="B884" s="208"/>
    </row>
    <row r="885" spans="1:2" s="209" customFormat="1" ht="16.5" customHeight="1" x14ac:dyDescent="0.25">
      <c r="A885" s="207"/>
      <c r="B885" s="208"/>
    </row>
    <row r="886" spans="1:2" s="209" customFormat="1" ht="16.5" customHeight="1" x14ac:dyDescent="0.25">
      <c r="A886" s="207"/>
      <c r="B886" s="208"/>
    </row>
    <row r="887" spans="1:2" s="209" customFormat="1" ht="16.5" customHeight="1" x14ac:dyDescent="0.25">
      <c r="A887" s="207"/>
      <c r="B887" s="208"/>
    </row>
    <row r="888" spans="1:2" s="209" customFormat="1" ht="16.5" customHeight="1" x14ac:dyDescent="0.25">
      <c r="A888" s="207"/>
      <c r="B888" s="208"/>
    </row>
    <row r="889" spans="1:2" s="209" customFormat="1" ht="16.5" customHeight="1" x14ac:dyDescent="0.25">
      <c r="A889" s="207"/>
      <c r="B889" s="208"/>
    </row>
    <row r="890" spans="1:2" s="209" customFormat="1" ht="16.5" customHeight="1" x14ac:dyDescent="0.25">
      <c r="A890" s="207"/>
      <c r="B890" s="208"/>
    </row>
    <row r="891" spans="1:2" s="209" customFormat="1" ht="16.5" customHeight="1" x14ac:dyDescent="0.25">
      <c r="A891" s="207"/>
      <c r="B891" s="208"/>
    </row>
    <row r="892" spans="1:2" s="209" customFormat="1" ht="16.5" customHeight="1" x14ac:dyDescent="0.25">
      <c r="A892" s="207"/>
      <c r="B892" s="208"/>
    </row>
    <row r="893" spans="1:2" s="209" customFormat="1" ht="16.5" customHeight="1" x14ac:dyDescent="0.25">
      <c r="A893" s="207"/>
      <c r="B893" s="208"/>
    </row>
    <row r="894" spans="1:2" s="209" customFormat="1" ht="16.5" customHeight="1" x14ac:dyDescent="0.25">
      <c r="A894" s="207"/>
      <c r="B894" s="208"/>
    </row>
    <row r="895" spans="1:2" s="209" customFormat="1" ht="16.5" customHeight="1" x14ac:dyDescent="0.25">
      <c r="A895" s="207"/>
      <c r="B895" s="208"/>
    </row>
    <row r="896" spans="1:2" s="209" customFormat="1" ht="16.5" customHeight="1" x14ac:dyDescent="0.25">
      <c r="A896" s="207"/>
      <c r="B896" s="208"/>
    </row>
    <row r="897" spans="1:2" s="209" customFormat="1" ht="16.5" customHeight="1" x14ac:dyDescent="0.25">
      <c r="A897" s="207"/>
      <c r="B897" s="208"/>
    </row>
    <row r="898" spans="1:2" s="209" customFormat="1" ht="16.5" customHeight="1" x14ac:dyDescent="0.25">
      <c r="A898" s="207"/>
      <c r="B898" s="208"/>
    </row>
    <row r="899" spans="1:2" s="209" customFormat="1" ht="16.5" customHeight="1" x14ac:dyDescent="0.25">
      <c r="A899" s="207"/>
      <c r="B899" s="208"/>
    </row>
    <row r="900" spans="1:2" s="209" customFormat="1" ht="16.5" customHeight="1" x14ac:dyDescent="0.25">
      <c r="A900" s="207"/>
      <c r="B900" s="208"/>
    </row>
    <row r="901" spans="1:2" s="209" customFormat="1" ht="16.5" customHeight="1" x14ac:dyDescent="0.25">
      <c r="A901" s="207"/>
      <c r="B901" s="208"/>
    </row>
    <row r="902" spans="1:2" s="209" customFormat="1" ht="16.5" customHeight="1" x14ac:dyDescent="0.25">
      <c r="A902" s="207"/>
      <c r="B902" s="208"/>
    </row>
    <row r="903" spans="1:2" s="209" customFormat="1" ht="16.5" customHeight="1" x14ac:dyDescent="0.25">
      <c r="A903" s="207"/>
      <c r="B903" s="208"/>
    </row>
    <row r="904" spans="1:2" s="209" customFormat="1" ht="16.5" customHeight="1" x14ac:dyDescent="0.25">
      <c r="A904" s="207"/>
      <c r="B904" s="208"/>
    </row>
    <row r="905" spans="1:2" s="209" customFormat="1" ht="16.5" customHeight="1" x14ac:dyDescent="0.25">
      <c r="A905" s="207"/>
      <c r="B905" s="208"/>
    </row>
    <row r="906" spans="1:2" s="209" customFormat="1" ht="16.5" customHeight="1" x14ac:dyDescent="0.25">
      <c r="A906" s="207"/>
      <c r="B906" s="208"/>
    </row>
    <row r="907" spans="1:2" s="209" customFormat="1" ht="16.5" customHeight="1" x14ac:dyDescent="0.25">
      <c r="A907" s="207"/>
      <c r="B907" s="208"/>
    </row>
    <row r="908" spans="1:2" s="209" customFormat="1" ht="16.5" customHeight="1" x14ac:dyDescent="0.25">
      <c r="A908" s="207"/>
      <c r="B908" s="208"/>
    </row>
    <row r="909" spans="1:2" s="209" customFormat="1" ht="16.5" customHeight="1" x14ac:dyDescent="0.25">
      <c r="A909" s="207"/>
      <c r="B909" s="208"/>
    </row>
    <row r="910" spans="1:2" s="209" customFormat="1" ht="16.5" customHeight="1" x14ac:dyDescent="0.25">
      <c r="A910" s="207"/>
      <c r="B910" s="208"/>
    </row>
    <row r="911" spans="1:2" s="209" customFormat="1" ht="16.5" customHeight="1" x14ac:dyDescent="0.25">
      <c r="A911" s="207"/>
      <c r="B911" s="208"/>
    </row>
    <row r="912" spans="1:2" s="209" customFormat="1" ht="16.5" customHeight="1" x14ac:dyDescent="0.25">
      <c r="A912" s="207"/>
      <c r="B912" s="208"/>
    </row>
    <row r="913" spans="1:2" s="209" customFormat="1" ht="16.5" customHeight="1" x14ac:dyDescent="0.25">
      <c r="A913" s="207"/>
      <c r="B913" s="208"/>
    </row>
    <row r="914" spans="1:2" s="209" customFormat="1" ht="16.5" customHeight="1" x14ac:dyDescent="0.25">
      <c r="A914" s="207"/>
      <c r="B914" s="208"/>
    </row>
    <row r="915" spans="1:2" s="209" customFormat="1" ht="16.5" customHeight="1" x14ac:dyDescent="0.25">
      <c r="A915" s="207"/>
      <c r="B915" s="208"/>
    </row>
    <row r="916" spans="1:2" s="209" customFormat="1" ht="16.5" customHeight="1" x14ac:dyDescent="0.25">
      <c r="A916" s="207"/>
      <c r="B916" s="208"/>
    </row>
    <row r="917" spans="1:2" s="209" customFormat="1" ht="16.5" customHeight="1" x14ac:dyDescent="0.25">
      <c r="A917" s="207"/>
      <c r="B917" s="208"/>
    </row>
    <row r="918" spans="1:2" s="209" customFormat="1" ht="16.5" customHeight="1" x14ac:dyDescent="0.25">
      <c r="A918" s="207"/>
      <c r="B918" s="208"/>
    </row>
    <row r="919" spans="1:2" s="209" customFormat="1" ht="16.5" customHeight="1" x14ac:dyDescent="0.25">
      <c r="A919" s="207"/>
      <c r="B919" s="208"/>
    </row>
    <row r="920" spans="1:2" s="209" customFormat="1" ht="16.5" customHeight="1" x14ac:dyDescent="0.25">
      <c r="A920" s="207"/>
      <c r="B920" s="208"/>
    </row>
    <row r="921" spans="1:2" s="209" customFormat="1" ht="16.5" customHeight="1" x14ac:dyDescent="0.25">
      <c r="A921" s="207"/>
      <c r="B921" s="208"/>
    </row>
    <row r="922" spans="1:2" s="209" customFormat="1" ht="16.5" customHeight="1" x14ac:dyDescent="0.25">
      <c r="A922" s="207"/>
      <c r="B922" s="208"/>
    </row>
    <row r="923" spans="1:2" s="209" customFormat="1" ht="16.5" customHeight="1" x14ac:dyDescent="0.25">
      <c r="A923" s="207"/>
      <c r="B923" s="208"/>
    </row>
    <row r="924" spans="1:2" s="209" customFormat="1" ht="16.5" customHeight="1" x14ac:dyDescent="0.25">
      <c r="A924" s="207"/>
      <c r="B924" s="208"/>
    </row>
    <row r="925" spans="1:2" s="209" customFormat="1" ht="16.5" customHeight="1" x14ac:dyDescent="0.25">
      <c r="A925" s="207"/>
      <c r="B925" s="208"/>
    </row>
    <row r="926" spans="1:2" s="209" customFormat="1" ht="16.5" customHeight="1" x14ac:dyDescent="0.25">
      <c r="A926" s="207"/>
      <c r="B926" s="208"/>
    </row>
    <row r="927" spans="1:2" s="209" customFormat="1" ht="16.5" customHeight="1" x14ac:dyDescent="0.25">
      <c r="A927" s="207"/>
      <c r="B927" s="208"/>
    </row>
    <row r="928" spans="1:2" s="209" customFormat="1" ht="16.5" customHeight="1" x14ac:dyDescent="0.25">
      <c r="A928" s="207"/>
      <c r="B928" s="208"/>
    </row>
    <row r="929" spans="1:2" s="209" customFormat="1" ht="16.5" customHeight="1" x14ac:dyDescent="0.25">
      <c r="A929" s="207"/>
      <c r="B929" s="208"/>
    </row>
    <row r="930" spans="1:2" s="209" customFormat="1" ht="16.5" customHeight="1" x14ac:dyDescent="0.25">
      <c r="A930" s="207"/>
      <c r="B930" s="208"/>
    </row>
    <row r="931" spans="1:2" s="209" customFormat="1" ht="16.5" customHeight="1" x14ac:dyDescent="0.25">
      <c r="A931" s="207"/>
      <c r="B931" s="208"/>
    </row>
    <row r="932" spans="1:2" s="209" customFormat="1" ht="16.5" customHeight="1" x14ac:dyDescent="0.25">
      <c r="A932" s="207"/>
      <c r="B932" s="208"/>
    </row>
    <row r="933" spans="1:2" s="209" customFormat="1" ht="16.5" customHeight="1" x14ac:dyDescent="0.25">
      <c r="A933" s="207"/>
      <c r="B933" s="208"/>
    </row>
    <row r="934" spans="1:2" s="209" customFormat="1" ht="16.5" customHeight="1" x14ac:dyDescent="0.25">
      <c r="A934" s="207"/>
      <c r="B934" s="208"/>
    </row>
    <row r="935" spans="1:2" s="209" customFormat="1" ht="16.5" customHeight="1" x14ac:dyDescent="0.25">
      <c r="A935" s="207"/>
      <c r="B935" s="208"/>
    </row>
    <row r="936" spans="1:2" s="209" customFormat="1" ht="16.5" customHeight="1" x14ac:dyDescent="0.25">
      <c r="A936" s="207"/>
      <c r="B936" s="208"/>
    </row>
    <row r="937" spans="1:2" s="209" customFormat="1" ht="16.5" customHeight="1" x14ac:dyDescent="0.25">
      <c r="A937" s="207"/>
      <c r="B937" s="208"/>
    </row>
    <row r="938" spans="1:2" s="209" customFormat="1" ht="16.5" customHeight="1" x14ac:dyDescent="0.25">
      <c r="A938" s="207"/>
      <c r="B938" s="208"/>
    </row>
    <row r="939" spans="1:2" s="209" customFormat="1" ht="16.5" customHeight="1" x14ac:dyDescent="0.25">
      <c r="A939" s="207"/>
      <c r="B939" s="208"/>
    </row>
    <row r="940" spans="1:2" s="209" customFormat="1" ht="16.5" customHeight="1" x14ac:dyDescent="0.25">
      <c r="A940" s="207"/>
      <c r="B940" s="208"/>
    </row>
    <row r="941" spans="1:2" s="209" customFormat="1" ht="16.5" customHeight="1" x14ac:dyDescent="0.25">
      <c r="A941" s="207"/>
      <c r="B941" s="208"/>
    </row>
    <row r="942" spans="1:2" s="209" customFormat="1" ht="16.5" customHeight="1" x14ac:dyDescent="0.25">
      <c r="A942" s="207"/>
      <c r="B942" s="208"/>
    </row>
    <row r="943" spans="1:2" s="209" customFormat="1" ht="16.5" customHeight="1" x14ac:dyDescent="0.25">
      <c r="A943" s="207"/>
      <c r="B943" s="208"/>
    </row>
    <row r="944" spans="1:2" s="209" customFormat="1" ht="16.5" customHeight="1" x14ac:dyDescent="0.25">
      <c r="A944" s="207"/>
      <c r="B944" s="208"/>
    </row>
    <row r="945" spans="1:2" s="209" customFormat="1" ht="16.5" customHeight="1" x14ac:dyDescent="0.25">
      <c r="A945" s="207"/>
      <c r="B945" s="208"/>
    </row>
    <row r="946" spans="1:2" s="209" customFormat="1" ht="16.5" customHeight="1" x14ac:dyDescent="0.25">
      <c r="A946" s="207"/>
      <c r="B946" s="208"/>
    </row>
    <row r="947" spans="1:2" s="209" customFormat="1" ht="16.5" customHeight="1" x14ac:dyDescent="0.25">
      <c r="A947" s="207"/>
      <c r="B947" s="208"/>
    </row>
    <row r="948" spans="1:2" s="209" customFormat="1" ht="16.5" customHeight="1" x14ac:dyDescent="0.25">
      <c r="A948" s="207"/>
      <c r="B948" s="208"/>
    </row>
    <row r="949" spans="1:2" s="209" customFormat="1" ht="16.5" customHeight="1" x14ac:dyDescent="0.25">
      <c r="A949" s="207"/>
      <c r="B949" s="208"/>
    </row>
    <row r="950" spans="1:2" s="209" customFormat="1" ht="16.5" customHeight="1" x14ac:dyDescent="0.25">
      <c r="A950" s="207"/>
      <c r="B950" s="208"/>
    </row>
    <row r="951" spans="1:2" s="209" customFormat="1" ht="16.5" customHeight="1" x14ac:dyDescent="0.25">
      <c r="A951" s="207"/>
      <c r="B951" s="208"/>
    </row>
    <row r="952" spans="1:2" s="209" customFormat="1" ht="16.5" customHeight="1" x14ac:dyDescent="0.25">
      <c r="A952" s="207"/>
      <c r="B952" s="208"/>
    </row>
    <row r="953" spans="1:2" s="209" customFormat="1" ht="16.5" customHeight="1" x14ac:dyDescent="0.25">
      <c r="A953" s="207"/>
      <c r="B953" s="208"/>
    </row>
    <row r="954" spans="1:2" s="209" customFormat="1" ht="16.5" customHeight="1" x14ac:dyDescent="0.25">
      <c r="A954" s="207"/>
      <c r="B954" s="208"/>
    </row>
    <row r="955" spans="1:2" s="209" customFormat="1" ht="16.5" customHeight="1" x14ac:dyDescent="0.25">
      <c r="A955" s="207"/>
      <c r="B955" s="208"/>
    </row>
    <row r="956" spans="1:2" s="209" customFormat="1" ht="16.5" customHeight="1" x14ac:dyDescent="0.25">
      <c r="A956" s="207"/>
      <c r="B956" s="208"/>
    </row>
    <row r="957" spans="1:2" s="209" customFormat="1" ht="16.5" customHeight="1" x14ac:dyDescent="0.25">
      <c r="A957" s="207"/>
      <c r="B957" s="208"/>
    </row>
    <row r="958" spans="1:2" s="209" customFormat="1" ht="16.5" customHeight="1" x14ac:dyDescent="0.25">
      <c r="A958" s="207"/>
      <c r="B958" s="208"/>
    </row>
    <row r="959" spans="1:2" s="209" customFormat="1" ht="16.5" customHeight="1" x14ac:dyDescent="0.25">
      <c r="A959" s="207"/>
      <c r="B959" s="208"/>
    </row>
    <row r="960" spans="1:2" s="209" customFormat="1" ht="16.5" customHeight="1" x14ac:dyDescent="0.25">
      <c r="A960" s="207"/>
      <c r="B960" s="208"/>
    </row>
    <row r="961" spans="1:2" s="209" customFormat="1" ht="16.5" customHeight="1" x14ac:dyDescent="0.25">
      <c r="A961" s="207"/>
      <c r="B961" s="208"/>
    </row>
    <row r="962" spans="1:2" s="209" customFormat="1" ht="16.5" customHeight="1" x14ac:dyDescent="0.25">
      <c r="A962" s="207"/>
      <c r="B962" s="208"/>
    </row>
    <row r="963" spans="1:2" s="209" customFormat="1" ht="16.5" customHeight="1" x14ac:dyDescent="0.25">
      <c r="A963" s="207"/>
      <c r="B963" s="208"/>
    </row>
    <row r="964" spans="1:2" s="209" customFormat="1" ht="16.5" customHeight="1" x14ac:dyDescent="0.25">
      <c r="A964" s="207"/>
      <c r="B964" s="208"/>
    </row>
    <row r="965" spans="1:2" s="209" customFormat="1" ht="16.5" customHeight="1" x14ac:dyDescent="0.25">
      <c r="A965" s="207"/>
      <c r="B965" s="208"/>
    </row>
    <row r="966" spans="1:2" s="209" customFormat="1" ht="16.5" customHeight="1" x14ac:dyDescent="0.25">
      <c r="A966" s="207"/>
      <c r="B966" s="208"/>
    </row>
    <row r="967" spans="1:2" s="209" customFormat="1" ht="16.5" customHeight="1" x14ac:dyDescent="0.25">
      <c r="A967" s="207"/>
      <c r="B967" s="208"/>
    </row>
    <row r="968" spans="1:2" s="209" customFormat="1" ht="16.5" customHeight="1" x14ac:dyDescent="0.25">
      <c r="A968" s="207"/>
      <c r="B968" s="208"/>
    </row>
    <row r="969" spans="1:2" s="209" customFormat="1" ht="16.5" customHeight="1" x14ac:dyDescent="0.25">
      <c r="A969" s="207"/>
      <c r="B969" s="208"/>
    </row>
    <row r="970" spans="1:2" s="209" customFormat="1" ht="16.5" customHeight="1" x14ac:dyDescent="0.25">
      <c r="A970" s="207"/>
      <c r="B970" s="208"/>
    </row>
    <row r="971" spans="1:2" s="209" customFormat="1" ht="16.5" customHeight="1" x14ac:dyDescent="0.25">
      <c r="A971" s="207"/>
      <c r="B971" s="208"/>
    </row>
    <row r="972" spans="1:2" s="209" customFormat="1" ht="16.5" customHeight="1" x14ac:dyDescent="0.25">
      <c r="A972" s="207"/>
      <c r="B972" s="208"/>
    </row>
    <row r="973" spans="1:2" s="209" customFormat="1" ht="16.5" customHeight="1" x14ac:dyDescent="0.25">
      <c r="A973" s="207"/>
      <c r="B973" s="208"/>
    </row>
    <row r="974" spans="1:2" s="209" customFormat="1" ht="16.5" customHeight="1" x14ac:dyDescent="0.25">
      <c r="A974" s="207"/>
      <c r="B974" s="208"/>
    </row>
    <row r="975" spans="1:2" s="209" customFormat="1" ht="16.5" customHeight="1" x14ac:dyDescent="0.25">
      <c r="A975" s="207"/>
      <c r="B975" s="208"/>
    </row>
    <row r="976" spans="1:2" s="209" customFormat="1" ht="16.5" customHeight="1" x14ac:dyDescent="0.25">
      <c r="A976" s="207"/>
      <c r="B976" s="208"/>
    </row>
    <row r="977" spans="1:2" s="209" customFormat="1" ht="16.5" customHeight="1" x14ac:dyDescent="0.25">
      <c r="A977" s="207"/>
      <c r="B977" s="208"/>
    </row>
    <row r="978" spans="1:2" s="209" customFormat="1" ht="16.5" customHeight="1" x14ac:dyDescent="0.25">
      <c r="A978" s="207"/>
      <c r="B978" s="208"/>
    </row>
    <row r="979" spans="1:2" s="209" customFormat="1" ht="16.5" customHeight="1" x14ac:dyDescent="0.25">
      <c r="A979" s="207"/>
      <c r="B979" s="208"/>
    </row>
    <row r="980" spans="1:2" s="209" customFormat="1" ht="16.5" customHeight="1" x14ac:dyDescent="0.25">
      <c r="A980" s="207"/>
      <c r="B980" s="208"/>
    </row>
    <row r="981" spans="1:2" s="209" customFormat="1" ht="16.5" customHeight="1" x14ac:dyDescent="0.25">
      <c r="A981" s="207"/>
      <c r="B981" s="208"/>
    </row>
    <row r="982" spans="1:2" s="209" customFormat="1" ht="16.5" customHeight="1" x14ac:dyDescent="0.25">
      <c r="A982" s="207"/>
      <c r="B982" s="208"/>
    </row>
    <row r="983" spans="1:2" s="209" customFormat="1" ht="16.5" customHeight="1" x14ac:dyDescent="0.25">
      <c r="A983" s="207"/>
      <c r="B983" s="208"/>
    </row>
    <row r="984" spans="1:2" s="209" customFormat="1" ht="16.5" customHeight="1" x14ac:dyDescent="0.25">
      <c r="A984" s="207"/>
      <c r="B984" s="208"/>
    </row>
    <row r="985" spans="1:2" s="209" customFormat="1" ht="16.5" customHeight="1" x14ac:dyDescent="0.25">
      <c r="A985" s="207"/>
      <c r="B985" s="208"/>
    </row>
    <row r="986" spans="1:2" s="209" customFormat="1" ht="16.5" customHeight="1" x14ac:dyDescent="0.25">
      <c r="A986" s="207"/>
      <c r="B986" s="208"/>
    </row>
    <row r="987" spans="1:2" s="209" customFormat="1" ht="16.5" customHeight="1" x14ac:dyDescent="0.25">
      <c r="A987" s="207"/>
      <c r="B987" s="208"/>
    </row>
    <row r="988" spans="1:2" s="209" customFormat="1" ht="16.5" customHeight="1" x14ac:dyDescent="0.25">
      <c r="A988" s="207"/>
      <c r="B988" s="208"/>
    </row>
    <row r="989" spans="1:2" s="209" customFormat="1" ht="16.5" customHeight="1" x14ac:dyDescent="0.25">
      <c r="A989" s="207"/>
      <c r="B989" s="208"/>
    </row>
    <row r="990" spans="1:2" s="209" customFormat="1" ht="16.5" customHeight="1" x14ac:dyDescent="0.25">
      <c r="A990" s="207"/>
      <c r="B990" s="208"/>
    </row>
    <row r="991" spans="1:2" s="209" customFormat="1" ht="16.5" customHeight="1" x14ac:dyDescent="0.25">
      <c r="A991" s="207"/>
      <c r="B991" s="208"/>
    </row>
    <row r="992" spans="1:2" s="209" customFormat="1" ht="16.5" customHeight="1" x14ac:dyDescent="0.25">
      <c r="A992" s="207"/>
      <c r="B992" s="208"/>
    </row>
    <row r="993" spans="1:2" s="209" customFormat="1" ht="16.5" customHeight="1" x14ac:dyDescent="0.25">
      <c r="A993" s="207"/>
      <c r="B993" s="208"/>
    </row>
    <row r="994" spans="1:2" s="209" customFormat="1" ht="16.5" customHeight="1" x14ac:dyDescent="0.25">
      <c r="A994" s="207"/>
      <c r="B994" s="208"/>
    </row>
    <row r="995" spans="1:2" s="209" customFormat="1" ht="16.5" customHeight="1" x14ac:dyDescent="0.25">
      <c r="A995" s="207"/>
      <c r="B995" s="208"/>
    </row>
    <row r="996" spans="1:2" s="209" customFormat="1" ht="16.5" customHeight="1" x14ac:dyDescent="0.25">
      <c r="A996" s="207"/>
      <c r="B996" s="208"/>
    </row>
    <row r="997" spans="1:2" s="209" customFormat="1" ht="16.5" customHeight="1" x14ac:dyDescent="0.25">
      <c r="A997" s="207"/>
      <c r="B997" s="208"/>
    </row>
    <row r="998" spans="1:2" s="209" customFormat="1" ht="16.5" customHeight="1" x14ac:dyDescent="0.25">
      <c r="A998" s="207"/>
      <c r="B998" s="208"/>
    </row>
    <row r="999" spans="1:2" s="209" customFormat="1" ht="16.5" customHeight="1" x14ac:dyDescent="0.25">
      <c r="A999" s="207"/>
      <c r="B999" s="208"/>
    </row>
    <row r="1000" spans="1:2" s="209" customFormat="1" ht="16.5" customHeight="1" x14ac:dyDescent="0.25">
      <c r="A1000" s="207"/>
      <c r="B1000" s="208"/>
    </row>
    <row r="1001" spans="1:2" s="209" customFormat="1" ht="16.5" customHeight="1" x14ac:dyDescent="0.25">
      <c r="A1001" s="207"/>
      <c r="B1001" s="208"/>
    </row>
    <row r="1002" spans="1:2" s="209" customFormat="1" ht="16.5" customHeight="1" x14ac:dyDescent="0.25">
      <c r="A1002" s="207"/>
      <c r="B1002" s="208"/>
    </row>
    <row r="1003" spans="1:2" s="209" customFormat="1" ht="16.5" customHeight="1" x14ac:dyDescent="0.25">
      <c r="A1003" s="207"/>
      <c r="B1003" s="208"/>
    </row>
    <row r="1004" spans="1:2" s="209" customFormat="1" ht="16.5" customHeight="1" x14ac:dyDescent="0.25">
      <c r="A1004" s="207"/>
      <c r="B1004" s="208"/>
    </row>
    <row r="1005" spans="1:2" s="209" customFormat="1" ht="16.5" customHeight="1" x14ac:dyDescent="0.25">
      <c r="A1005" s="207"/>
      <c r="B1005" s="208"/>
    </row>
    <row r="1006" spans="1:2" s="209" customFormat="1" ht="16.5" customHeight="1" x14ac:dyDescent="0.25">
      <c r="A1006" s="207"/>
      <c r="B1006" s="208"/>
    </row>
    <row r="1007" spans="1:2" s="209" customFormat="1" ht="16.5" customHeight="1" x14ac:dyDescent="0.25">
      <c r="A1007" s="207"/>
      <c r="B1007" s="208"/>
    </row>
    <row r="1008" spans="1:2" s="209" customFormat="1" ht="16.5" customHeight="1" x14ac:dyDescent="0.25">
      <c r="A1008" s="207"/>
      <c r="B1008" s="208"/>
    </row>
    <row r="1009" spans="1:2" s="209" customFormat="1" ht="16.5" customHeight="1" x14ac:dyDescent="0.25">
      <c r="A1009" s="207"/>
      <c r="B1009" s="208"/>
    </row>
    <row r="1010" spans="1:2" s="209" customFormat="1" ht="16.5" customHeight="1" x14ac:dyDescent="0.25">
      <c r="A1010" s="207"/>
      <c r="B1010" s="208"/>
    </row>
    <row r="1011" spans="1:2" s="209" customFormat="1" ht="16.5" customHeight="1" x14ac:dyDescent="0.25">
      <c r="A1011" s="207"/>
      <c r="B1011" s="208"/>
    </row>
    <row r="1012" spans="1:2" s="209" customFormat="1" ht="16.5" customHeight="1" x14ac:dyDescent="0.25">
      <c r="A1012" s="207"/>
      <c r="B1012" s="208"/>
    </row>
    <row r="1013" spans="1:2" s="209" customFormat="1" ht="16.5" customHeight="1" x14ac:dyDescent="0.25">
      <c r="A1013" s="207"/>
      <c r="B1013" s="208"/>
    </row>
    <row r="1014" spans="1:2" s="209" customFormat="1" ht="16.5" customHeight="1" x14ac:dyDescent="0.25">
      <c r="A1014" s="207"/>
      <c r="B1014" s="208"/>
    </row>
    <row r="1015" spans="1:2" s="209" customFormat="1" ht="16.5" customHeight="1" x14ac:dyDescent="0.25">
      <c r="A1015" s="207"/>
      <c r="B1015" s="208"/>
    </row>
    <row r="1016" spans="1:2" s="209" customFormat="1" ht="16.5" customHeight="1" x14ac:dyDescent="0.25">
      <c r="A1016" s="207"/>
      <c r="B1016" s="208"/>
    </row>
    <row r="1017" spans="1:2" s="209" customFormat="1" ht="16.5" customHeight="1" x14ac:dyDescent="0.25">
      <c r="A1017" s="207"/>
      <c r="B1017" s="208"/>
    </row>
    <row r="1018" spans="1:2" s="209" customFormat="1" ht="16.5" customHeight="1" x14ac:dyDescent="0.25">
      <c r="A1018" s="207"/>
      <c r="B1018" s="208"/>
    </row>
    <row r="1019" spans="1:2" s="209" customFormat="1" ht="16.5" customHeight="1" x14ac:dyDescent="0.25">
      <c r="A1019" s="207"/>
      <c r="B1019" s="208"/>
    </row>
    <row r="1020" spans="1:2" s="209" customFormat="1" ht="16.5" customHeight="1" x14ac:dyDescent="0.25">
      <c r="A1020" s="207"/>
      <c r="B1020" s="208"/>
    </row>
    <row r="1021" spans="1:2" s="209" customFormat="1" ht="16.5" customHeight="1" x14ac:dyDescent="0.25">
      <c r="A1021" s="207"/>
      <c r="B1021" s="208"/>
    </row>
    <row r="1022" spans="1:2" s="209" customFormat="1" ht="16.5" customHeight="1" x14ac:dyDescent="0.25">
      <c r="A1022" s="207"/>
      <c r="B1022" s="208"/>
    </row>
    <row r="1023" spans="1:2" s="209" customFormat="1" ht="16.5" customHeight="1" x14ac:dyDescent="0.25">
      <c r="A1023" s="207"/>
      <c r="B1023" s="208"/>
    </row>
    <row r="1024" spans="1:2" s="209" customFormat="1" ht="16.5" customHeight="1" x14ac:dyDescent="0.25">
      <c r="A1024" s="207"/>
      <c r="B1024" s="208"/>
    </row>
    <row r="1025" spans="1:2" s="209" customFormat="1" ht="16.5" customHeight="1" x14ac:dyDescent="0.25">
      <c r="A1025" s="207"/>
      <c r="B1025" s="208"/>
    </row>
    <row r="1026" spans="1:2" s="209" customFormat="1" ht="16.5" customHeight="1" x14ac:dyDescent="0.25">
      <c r="A1026" s="207"/>
      <c r="B1026" s="208"/>
    </row>
    <row r="1027" spans="1:2" s="209" customFormat="1" ht="16.5" customHeight="1" x14ac:dyDescent="0.25">
      <c r="A1027" s="207"/>
      <c r="B1027" s="208"/>
    </row>
    <row r="1028" spans="1:2" s="209" customFormat="1" ht="16.5" customHeight="1" x14ac:dyDescent="0.25">
      <c r="A1028" s="207"/>
      <c r="B1028" s="208"/>
    </row>
    <row r="1029" spans="1:2" s="209" customFormat="1" ht="16.5" customHeight="1" x14ac:dyDescent="0.25">
      <c r="A1029" s="207"/>
      <c r="B1029" s="208"/>
    </row>
    <row r="1030" spans="1:2" s="209" customFormat="1" ht="16.5" customHeight="1" x14ac:dyDescent="0.25">
      <c r="A1030" s="207"/>
      <c r="B1030" s="208"/>
    </row>
    <row r="1031" spans="1:2" s="209" customFormat="1" ht="16.5" customHeight="1" x14ac:dyDescent="0.25">
      <c r="A1031" s="207"/>
      <c r="B1031" s="208"/>
    </row>
    <row r="1032" spans="1:2" s="209" customFormat="1" ht="16.5" customHeight="1" x14ac:dyDescent="0.25">
      <c r="A1032" s="207"/>
      <c r="B1032" s="208"/>
    </row>
    <row r="1033" spans="1:2" s="209" customFormat="1" ht="16.5" customHeight="1" x14ac:dyDescent="0.25">
      <c r="A1033" s="207"/>
      <c r="B1033" s="208"/>
    </row>
    <row r="1034" spans="1:2" s="209" customFormat="1" ht="16.5" customHeight="1" x14ac:dyDescent="0.25">
      <c r="A1034" s="207"/>
      <c r="B1034" s="208"/>
    </row>
    <row r="1035" spans="1:2" s="209" customFormat="1" ht="16.5" customHeight="1" x14ac:dyDescent="0.25">
      <c r="A1035" s="207"/>
      <c r="B1035" s="208"/>
    </row>
    <row r="1036" spans="1:2" s="209" customFormat="1" ht="16.5" customHeight="1" x14ac:dyDescent="0.25">
      <c r="A1036" s="207"/>
      <c r="B1036" s="208"/>
    </row>
    <row r="1037" spans="1:2" s="209" customFormat="1" ht="16.5" customHeight="1" x14ac:dyDescent="0.25">
      <c r="A1037" s="207"/>
      <c r="B1037" s="208"/>
    </row>
    <row r="1038" spans="1:2" s="209" customFormat="1" ht="16.5" customHeight="1" x14ac:dyDescent="0.25">
      <c r="A1038" s="207"/>
      <c r="B1038" s="208"/>
    </row>
    <row r="1039" spans="1:2" s="209" customFormat="1" ht="16.5" customHeight="1" x14ac:dyDescent="0.25">
      <c r="A1039" s="207"/>
      <c r="B1039" s="208"/>
    </row>
    <row r="1040" spans="1:2" s="209" customFormat="1" ht="16.5" customHeight="1" x14ac:dyDescent="0.25">
      <c r="A1040" s="207"/>
      <c r="B1040" s="208"/>
    </row>
    <row r="1041" spans="1:2" s="209" customFormat="1" ht="16.5" customHeight="1" x14ac:dyDescent="0.25">
      <c r="A1041" s="207"/>
      <c r="B1041" s="208"/>
    </row>
    <row r="1042" spans="1:2" s="209" customFormat="1" ht="16.5" customHeight="1" x14ac:dyDescent="0.25">
      <c r="A1042" s="207"/>
      <c r="B1042" s="208"/>
    </row>
    <row r="1043" spans="1:2" s="209" customFormat="1" ht="16.5" customHeight="1" x14ac:dyDescent="0.25">
      <c r="A1043" s="207"/>
      <c r="B1043" s="208"/>
    </row>
    <row r="1044" spans="1:2" s="209" customFormat="1" ht="16.5" customHeight="1" x14ac:dyDescent="0.25">
      <c r="A1044" s="207"/>
      <c r="B1044" s="208"/>
    </row>
    <row r="1045" spans="1:2" s="209" customFormat="1" ht="16.5" customHeight="1" x14ac:dyDescent="0.25">
      <c r="A1045" s="207"/>
      <c r="B1045" s="208"/>
    </row>
    <row r="1046" spans="1:2" s="209" customFormat="1" ht="16.5" customHeight="1" x14ac:dyDescent="0.25">
      <c r="A1046" s="207"/>
      <c r="B1046" s="208"/>
    </row>
    <row r="1047" spans="1:2" s="209" customFormat="1" ht="16.5" customHeight="1" x14ac:dyDescent="0.25">
      <c r="A1047" s="207"/>
      <c r="B1047" s="208"/>
    </row>
    <row r="1048" spans="1:2" s="209" customFormat="1" ht="16.5" customHeight="1" x14ac:dyDescent="0.25">
      <c r="A1048" s="207"/>
      <c r="B1048" s="208"/>
    </row>
    <row r="1049" spans="1:2" s="209" customFormat="1" ht="16.5" customHeight="1" x14ac:dyDescent="0.25">
      <c r="A1049" s="207"/>
      <c r="B1049" s="208"/>
    </row>
    <row r="1050" spans="1:2" s="209" customFormat="1" ht="16.5" customHeight="1" x14ac:dyDescent="0.25">
      <c r="A1050" s="207"/>
      <c r="B1050" s="208"/>
    </row>
    <row r="1051" spans="1:2" s="209" customFormat="1" ht="16.5" customHeight="1" x14ac:dyDescent="0.25">
      <c r="A1051" s="207"/>
      <c r="B1051" s="208"/>
    </row>
    <row r="1052" spans="1:2" s="209" customFormat="1" ht="16.5" customHeight="1" x14ac:dyDescent="0.25">
      <c r="A1052" s="207"/>
      <c r="B1052" s="208"/>
    </row>
    <row r="1053" spans="1:2" s="209" customFormat="1" ht="16.5" customHeight="1" x14ac:dyDescent="0.25">
      <c r="A1053" s="207"/>
      <c r="B1053" s="208"/>
    </row>
    <row r="1054" spans="1:2" s="209" customFormat="1" ht="16.5" customHeight="1" x14ac:dyDescent="0.25">
      <c r="A1054" s="207"/>
      <c r="B1054" s="208"/>
    </row>
    <row r="1055" spans="1:2" s="209" customFormat="1" ht="16.5" customHeight="1" x14ac:dyDescent="0.25">
      <c r="A1055" s="207"/>
      <c r="B1055" s="208"/>
    </row>
    <row r="1056" spans="1:2" s="209" customFormat="1" ht="16.5" customHeight="1" x14ac:dyDescent="0.25">
      <c r="A1056" s="207"/>
      <c r="B1056" s="208"/>
    </row>
    <row r="1057" spans="1:2" s="209" customFormat="1" ht="16.5" customHeight="1" x14ac:dyDescent="0.25">
      <c r="A1057" s="207"/>
      <c r="B1057" s="208"/>
    </row>
    <row r="1058" spans="1:2" s="209" customFormat="1" ht="16.5" customHeight="1" x14ac:dyDescent="0.25">
      <c r="A1058" s="207"/>
      <c r="B1058" s="208"/>
    </row>
    <row r="1059" spans="1:2" s="209" customFormat="1" ht="16.5" customHeight="1" x14ac:dyDescent="0.25">
      <c r="A1059" s="207"/>
      <c r="B1059" s="208"/>
    </row>
    <row r="1060" spans="1:2" s="209" customFormat="1" ht="16.5" customHeight="1" x14ac:dyDescent="0.25">
      <c r="A1060" s="207"/>
      <c r="B1060" s="208"/>
    </row>
    <row r="1061" spans="1:2" s="209" customFormat="1" ht="16.5" customHeight="1" x14ac:dyDescent="0.25">
      <c r="A1061" s="207"/>
      <c r="B1061" s="208"/>
    </row>
    <row r="1062" spans="1:2" s="209" customFormat="1" ht="16.5" customHeight="1" x14ac:dyDescent="0.25">
      <c r="A1062" s="207"/>
      <c r="B1062" s="208"/>
    </row>
    <row r="1063" spans="1:2" s="209" customFormat="1" ht="16.5" customHeight="1" x14ac:dyDescent="0.25">
      <c r="A1063" s="207"/>
      <c r="B1063" s="208"/>
    </row>
    <row r="1064" spans="1:2" s="209" customFormat="1" ht="16.5" customHeight="1" x14ac:dyDescent="0.25">
      <c r="A1064" s="207"/>
      <c r="B1064" s="208"/>
    </row>
    <row r="1065" spans="1:2" s="209" customFormat="1" ht="16.5" customHeight="1" x14ac:dyDescent="0.25">
      <c r="A1065" s="207"/>
      <c r="B1065" s="208"/>
    </row>
    <row r="1066" spans="1:2" s="209" customFormat="1" ht="16.5" customHeight="1" x14ac:dyDescent="0.25">
      <c r="A1066" s="207"/>
      <c r="B1066" s="208"/>
    </row>
    <row r="1067" spans="1:2" s="209" customFormat="1" ht="16.5" customHeight="1" x14ac:dyDescent="0.25">
      <c r="A1067" s="207"/>
      <c r="B1067" s="208"/>
    </row>
    <row r="1068" spans="1:2" s="209" customFormat="1" ht="16.5" customHeight="1" x14ac:dyDescent="0.25">
      <c r="A1068" s="207"/>
      <c r="B1068" s="208"/>
    </row>
    <row r="1069" spans="1:2" s="209" customFormat="1" ht="16.5" customHeight="1" x14ac:dyDescent="0.25">
      <c r="A1069" s="207"/>
      <c r="B1069" s="208"/>
    </row>
    <row r="1070" spans="1:2" s="209" customFormat="1" ht="16.5" customHeight="1" x14ac:dyDescent="0.25">
      <c r="A1070" s="207"/>
      <c r="B1070" s="208"/>
    </row>
    <row r="1071" spans="1:2" s="209" customFormat="1" ht="16.5" customHeight="1" x14ac:dyDescent="0.25">
      <c r="A1071" s="207"/>
      <c r="B1071" s="208"/>
    </row>
    <row r="1072" spans="1:2" s="209" customFormat="1" ht="16.5" customHeight="1" x14ac:dyDescent="0.25">
      <c r="A1072" s="207"/>
      <c r="B1072" s="208"/>
    </row>
    <row r="1073" spans="1:2" s="209" customFormat="1" ht="16.5" customHeight="1" x14ac:dyDescent="0.25">
      <c r="A1073" s="207"/>
      <c r="B1073" s="208"/>
    </row>
    <row r="1074" spans="1:2" s="209" customFormat="1" ht="16.5" customHeight="1" x14ac:dyDescent="0.25">
      <c r="A1074" s="207"/>
      <c r="B1074" s="208"/>
    </row>
    <row r="1075" spans="1:2" s="209" customFormat="1" ht="16.5" customHeight="1" x14ac:dyDescent="0.25">
      <c r="A1075" s="207"/>
      <c r="B1075" s="208"/>
    </row>
    <row r="1076" spans="1:2" s="209" customFormat="1" ht="16.5" customHeight="1" x14ac:dyDescent="0.25">
      <c r="A1076" s="207"/>
      <c r="B1076" s="208"/>
    </row>
    <row r="1077" spans="1:2" s="209" customFormat="1" ht="16.5" customHeight="1" x14ac:dyDescent="0.25">
      <c r="A1077" s="207"/>
      <c r="B1077" s="208"/>
    </row>
    <row r="1078" spans="1:2" s="209" customFormat="1" ht="16.5" customHeight="1" x14ac:dyDescent="0.25">
      <c r="A1078" s="207"/>
      <c r="B1078" s="208"/>
    </row>
    <row r="1079" spans="1:2" s="209" customFormat="1" ht="16.5" customHeight="1" x14ac:dyDescent="0.25">
      <c r="A1079" s="207"/>
      <c r="B1079" s="208"/>
    </row>
    <row r="1080" spans="1:2" s="209" customFormat="1" ht="16.5" customHeight="1" x14ac:dyDescent="0.25">
      <c r="A1080" s="207"/>
      <c r="B1080" s="208"/>
    </row>
    <row r="1081" spans="1:2" s="209" customFormat="1" ht="16.5" customHeight="1" x14ac:dyDescent="0.25">
      <c r="A1081" s="207"/>
      <c r="B1081" s="208"/>
    </row>
    <row r="1082" spans="1:2" s="209" customFormat="1" ht="16.5" customHeight="1" x14ac:dyDescent="0.25">
      <c r="A1082" s="207"/>
      <c r="B1082" s="208"/>
    </row>
    <row r="1083" spans="1:2" s="209" customFormat="1" ht="16.5" customHeight="1" x14ac:dyDescent="0.25">
      <c r="A1083" s="207"/>
      <c r="B1083" s="208"/>
    </row>
    <row r="1084" spans="1:2" s="209" customFormat="1" ht="16.5" customHeight="1" x14ac:dyDescent="0.25">
      <c r="A1084" s="207"/>
      <c r="B1084" s="208"/>
    </row>
    <row r="1085" spans="1:2" s="209" customFormat="1" ht="16.5" customHeight="1" x14ac:dyDescent="0.25">
      <c r="A1085" s="207"/>
      <c r="B1085" s="208"/>
    </row>
    <row r="1086" spans="1:2" s="209" customFormat="1" ht="16.5" customHeight="1" x14ac:dyDescent="0.25">
      <c r="A1086" s="207"/>
      <c r="B1086" s="208"/>
    </row>
    <row r="1087" spans="1:2" s="209" customFormat="1" ht="16.5" customHeight="1" x14ac:dyDescent="0.25">
      <c r="A1087" s="207"/>
      <c r="B1087" s="208"/>
    </row>
    <row r="1088" spans="1:2" s="209" customFormat="1" ht="16.5" customHeight="1" x14ac:dyDescent="0.25">
      <c r="A1088" s="207"/>
      <c r="B1088" s="208"/>
    </row>
    <row r="1089" spans="1:2" s="209" customFormat="1" ht="16.5" customHeight="1" x14ac:dyDescent="0.25">
      <c r="A1089" s="207"/>
      <c r="B1089" s="208"/>
    </row>
    <row r="1090" spans="1:2" s="209" customFormat="1" ht="16.5" customHeight="1" x14ac:dyDescent="0.25">
      <c r="A1090" s="207"/>
      <c r="B1090" s="208"/>
    </row>
    <row r="1091" spans="1:2" s="209" customFormat="1" ht="16.5" customHeight="1" x14ac:dyDescent="0.25">
      <c r="A1091" s="207"/>
      <c r="B1091" s="208"/>
    </row>
    <row r="1092" spans="1:2" s="209" customFormat="1" ht="16.5" customHeight="1" x14ac:dyDescent="0.25">
      <c r="A1092" s="207"/>
      <c r="B1092" s="208"/>
    </row>
    <row r="1093" spans="1:2" s="209" customFormat="1" ht="16.5" customHeight="1" x14ac:dyDescent="0.25">
      <c r="A1093" s="207"/>
      <c r="B1093" s="208"/>
    </row>
    <row r="1094" spans="1:2" s="209" customFormat="1" ht="16.5" customHeight="1" x14ac:dyDescent="0.25">
      <c r="A1094" s="207"/>
      <c r="B1094" s="208"/>
    </row>
    <row r="1095" spans="1:2" s="209" customFormat="1" ht="16.5" customHeight="1" x14ac:dyDescent="0.25">
      <c r="A1095" s="207"/>
      <c r="B1095" s="208"/>
    </row>
    <row r="1096" spans="1:2" s="209" customFormat="1" ht="16.5" customHeight="1" x14ac:dyDescent="0.25">
      <c r="A1096" s="207"/>
      <c r="B1096" s="208"/>
    </row>
    <row r="1097" spans="1:2" s="209" customFormat="1" ht="16.5" customHeight="1" x14ac:dyDescent="0.25">
      <c r="A1097" s="207"/>
      <c r="B1097" s="208"/>
    </row>
    <row r="1098" spans="1:2" s="209" customFormat="1" ht="16.5" customHeight="1" x14ac:dyDescent="0.25">
      <c r="A1098" s="207"/>
      <c r="B1098" s="208"/>
    </row>
    <row r="1099" spans="1:2" s="209" customFormat="1" ht="16.5" customHeight="1" x14ac:dyDescent="0.25">
      <c r="A1099" s="207"/>
      <c r="B1099" s="208"/>
    </row>
    <row r="1100" spans="1:2" s="209" customFormat="1" ht="16.5" customHeight="1" x14ac:dyDescent="0.25">
      <c r="A1100" s="207"/>
      <c r="B1100" s="208"/>
    </row>
    <row r="1101" spans="1:2" s="209" customFormat="1" ht="16.5" customHeight="1" x14ac:dyDescent="0.25">
      <c r="A1101" s="207"/>
      <c r="B1101" s="208"/>
    </row>
    <row r="1102" spans="1:2" s="209" customFormat="1" ht="16.5" customHeight="1" x14ac:dyDescent="0.25">
      <c r="A1102" s="207"/>
      <c r="B1102" s="208"/>
    </row>
    <row r="1103" spans="1:2" s="209" customFormat="1" ht="16.5" customHeight="1" x14ac:dyDescent="0.25">
      <c r="A1103" s="207"/>
      <c r="B1103" s="208"/>
    </row>
    <row r="1104" spans="1:2" s="209" customFormat="1" ht="16.5" customHeight="1" x14ac:dyDescent="0.25">
      <c r="A1104" s="207"/>
      <c r="B1104" s="208"/>
    </row>
    <row r="1105" spans="1:2" s="209" customFormat="1" ht="16.5" customHeight="1" x14ac:dyDescent="0.25">
      <c r="A1105" s="207"/>
      <c r="B1105" s="208"/>
    </row>
    <row r="1106" spans="1:2" s="209" customFormat="1" ht="16.5" customHeight="1" x14ac:dyDescent="0.25">
      <c r="A1106" s="207"/>
      <c r="B1106" s="208"/>
    </row>
    <row r="1107" spans="1:2" s="209" customFormat="1" ht="16.5" customHeight="1" x14ac:dyDescent="0.25">
      <c r="A1107" s="207"/>
      <c r="B1107" s="208"/>
    </row>
    <row r="1108" spans="1:2" s="209" customFormat="1" ht="16.5" customHeight="1" x14ac:dyDescent="0.25">
      <c r="A1108" s="207"/>
      <c r="B1108" s="208"/>
    </row>
    <row r="1109" spans="1:2" s="209" customFormat="1" ht="16.5" customHeight="1" x14ac:dyDescent="0.25">
      <c r="A1109" s="207"/>
      <c r="B1109" s="208"/>
    </row>
    <row r="1110" spans="1:2" s="209" customFormat="1" ht="16.5" customHeight="1" x14ac:dyDescent="0.25">
      <c r="A1110" s="207"/>
      <c r="B1110" s="208"/>
    </row>
    <row r="1111" spans="1:2" s="209" customFormat="1" ht="16.5" customHeight="1" x14ac:dyDescent="0.25">
      <c r="A1111" s="207"/>
      <c r="B1111" s="208"/>
    </row>
    <row r="1112" spans="1:2" s="209" customFormat="1" ht="16.5" customHeight="1" x14ac:dyDescent="0.25">
      <c r="A1112" s="207"/>
      <c r="B1112" s="208"/>
    </row>
    <row r="1113" spans="1:2" s="209" customFormat="1" ht="16.5" customHeight="1" x14ac:dyDescent="0.25">
      <c r="A1113" s="207"/>
      <c r="B1113" s="208"/>
    </row>
    <row r="1114" spans="1:2" s="209" customFormat="1" ht="16.5" customHeight="1" x14ac:dyDescent="0.25">
      <c r="A1114" s="207"/>
      <c r="B1114" s="208"/>
    </row>
    <row r="1115" spans="1:2" s="209" customFormat="1" ht="16.5" customHeight="1" x14ac:dyDescent="0.25">
      <c r="A1115" s="207"/>
      <c r="B1115" s="208"/>
    </row>
    <row r="1116" spans="1:2" s="209" customFormat="1" ht="16.5" customHeight="1" x14ac:dyDescent="0.25">
      <c r="A1116" s="207"/>
      <c r="B1116" s="208"/>
    </row>
    <row r="1117" spans="1:2" s="209" customFormat="1" ht="16.5" customHeight="1" x14ac:dyDescent="0.25">
      <c r="A1117" s="207"/>
      <c r="B1117" s="208"/>
    </row>
    <row r="1118" spans="1:2" s="209" customFormat="1" ht="16.5" customHeight="1" x14ac:dyDescent="0.25">
      <c r="A1118" s="207"/>
      <c r="B1118" s="208"/>
    </row>
    <row r="1119" spans="1:2" s="209" customFormat="1" ht="16.5" customHeight="1" x14ac:dyDescent="0.25">
      <c r="A1119" s="207"/>
      <c r="B1119" s="208"/>
    </row>
    <row r="1120" spans="1:2" s="209" customFormat="1" ht="16.5" customHeight="1" x14ac:dyDescent="0.25">
      <c r="A1120" s="207"/>
      <c r="B1120" s="208"/>
    </row>
    <row r="1121" spans="1:2" s="209" customFormat="1" ht="16.5" customHeight="1" x14ac:dyDescent="0.25">
      <c r="A1121" s="207"/>
      <c r="B1121" s="208"/>
    </row>
    <row r="1122" spans="1:2" s="209" customFormat="1" ht="16.5" customHeight="1" x14ac:dyDescent="0.25">
      <c r="A1122" s="207"/>
      <c r="B1122" s="208"/>
    </row>
    <row r="1123" spans="1:2" s="209" customFormat="1" ht="16.5" customHeight="1" x14ac:dyDescent="0.25">
      <c r="A1123" s="207"/>
      <c r="B1123" s="208"/>
    </row>
    <row r="1124" spans="1:2" s="209" customFormat="1" ht="16.5" customHeight="1" x14ac:dyDescent="0.25">
      <c r="A1124" s="207"/>
      <c r="B1124" s="208"/>
    </row>
    <row r="1125" spans="1:2" s="209" customFormat="1" ht="16.5" customHeight="1" x14ac:dyDescent="0.25">
      <c r="A1125" s="207"/>
      <c r="B1125" s="208"/>
    </row>
    <row r="1126" spans="1:2" s="209" customFormat="1" ht="16.5" customHeight="1" x14ac:dyDescent="0.25">
      <c r="A1126" s="207"/>
      <c r="B1126" s="208"/>
    </row>
    <row r="1127" spans="1:2" s="209" customFormat="1" ht="16.5" customHeight="1" x14ac:dyDescent="0.25">
      <c r="A1127" s="207"/>
      <c r="B1127" s="208"/>
    </row>
    <row r="1128" spans="1:2" s="209" customFormat="1" ht="16.5" customHeight="1" x14ac:dyDescent="0.25">
      <c r="A1128" s="207"/>
      <c r="B1128" s="208"/>
    </row>
    <row r="1129" spans="1:2" s="209" customFormat="1" ht="16.5" customHeight="1" x14ac:dyDescent="0.25">
      <c r="A1129" s="207"/>
      <c r="B1129" s="208"/>
    </row>
    <row r="1130" spans="1:2" s="209" customFormat="1" ht="16.5" customHeight="1" x14ac:dyDescent="0.25">
      <c r="A1130" s="207"/>
      <c r="B1130" s="208"/>
    </row>
    <row r="1131" spans="1:2" s="209" customFormat="1" ht="16.5" customHeight="1" x14ac:dyDescent="0.25">
      <c r="A1131" s="207"/>
      <c r="B1131" s="208"/>
    </row>
    <row r="1132" spans="1:2" s="209" customFormat="1" ht="16.5" customHeight="1" x14ac:dyDescent="0.25">
      <c r="A1132" s="207"/>
      <c r="B1132" s="208"/>
    </row>
    <row r="1133" spans="1:2" s="209" customFormat="1" ht="16.5" customHeight="1" x14ac:dyDescent="0.25">
      <c r="A1133" s="207"/>
      <c r="B1133" s="208"/>
    </row>
    <row r="1134" spans="1:2" s="209" customFormat="1" ht="16.5" customHeight="1" x14ac:dyDescent="0.25">
      <c r="A1134" s="207"/>
      <c r="B1134" s="208"/>
    </row>
    <row r="1135" spans="1:2" s="209" customFormat="1" ht="16.5" customHeight="1" x14ac:dyDescent="0.25">
      <c r="A1135" s="207"/>
      <c r="B1135" s="208"/>
    </row>
    <row r="1136" spans="1:2" s="209" customFormat="1" ht="16.5" customHeight="1" x14ac:dyDescent="0.25">
      <c r="A1136" s="207"/>
      <c r="B1136" s="208"/>
    </row>
    <row r="1137" spans="1:2" s="209" customFormat="1" ht="16.5" customHeight="1" x14ac:dyDescent="0.25">
      <c r="A1137" s="207"/>
      <c r="B1137" s="208"/>
    </row>
    <row r="1138" spans="1:2" s="209" customFormat="1" ht="16.5" customHeight="1" x14ac:dyDescent="0.25">
      <c r="A1138" s="207"/>
      <c r="B1138" s="208"/>
    </row>
    <row r="1139" spans="1:2" s="209" customFormat="1" ht="16.5" customHeight="1" x14ac:dyDescent="0.25">
      <c r="A1139" s="207"/>
      <c r="B1139" s="208"/>
    </row>
    <row r="1140" spans="1:2" s="209" customFormat="1" ht="16.5" customHeight="1" x14ac:dyDescent="0.25">
      <c r="A1140" s="207"/>
      <c r="B1140" s="208"/>
    </row>
    <row r="1141" spans="1:2" s="209" customFormat="1" ht="16.5" customHeight="1" x14ac:dyDescent="0.25">
      <c r="A1141" s="207"/>
      <c r="B1141" s="208"/>
    </row>
    <row r="1142" spans="1:2" s="209" customFormat="1" ht="16.5" customHeight="1" x14ac:dyDescent="0.25">
      <c r="A1142" s="207"/>
      <c r="B1142" s="208"/>
    </row>
    <row r="1143" spans="1:2" s="209" customFormat="1" ht="16.5" customHeight="1" x14ac:dyDescent="0.25">
      <c r="A1143" s="207"/>
      <c r="B1143" s="208"/>
    </row>
    <row r="1144" spans="1:2" s="209" customFormat="1" ht="16.5" customHeight="1" x14ac:dyDescent="0.25">
      <c r="A1144" s="207"/>
      <c r="B1144" s="208"/>
    </row>
    <row r="1145" spans="1:2" s="209" customFormat="1" ht="16.5" customHeight="1" x14ac:dyDescent="0.25">
      <c r="A1145" s="207"/>
      <c r="B1145" s="208"/>
    </row>
    <row r="1146" spans="1:2" s="209" customFormat="1" ht="16.5" customHeight="1" x14ac:dyDescent="0.25">
      <c r="A1146" s="207"/>
      <c r="B1146" s="208"/>
    </row>
    <row r="1147" spans="1:2" s="209" customFormat="1" ht="16.5" customHeight="1" x14ac:dyDescent="0.25">
      <c r="A1147" s="207"/>
      <c r="B1147" s="208"/>
    </row>
    <row r="1148" spans="1:2" s="209" customFormat="1" ht="16.5" customHeight="1" x14ac:dyDescent="0.25">
      <c r="A1148" s="207"/>
      <c r="B1148" s="208"/>
    </row>
    <row r="1149" spans="1:2" s="209" customFormat="1" ht="16.5" customHeight="1" x14ac:dyDescent="0.25">
      <c r="A1149" s="207"/>
      <c r="B1149" s="208"/>
    </row>
    <row r="1150" spans="1:2" s="209" customFormat="1" ht="16.5" customHeight="1" x14ac:dyDescent="0.25">
      <c r="A1150" s="207"/>
      <c r="B1150" s="208"/>
    </row>
    <row r="1151" spans="1:2" s="209" customFormat="1" ht="16.5" customHeight="1" x14ac:dyDescent="0.25">
      <c r="A1151" s="207"/>
      <c r="B1151" s="208"/>
    </row>
    <row r="1152" spans="1:2" s="209" customFormat="1" ht="16.5" customHeight="1" x14ac:dyDescent="0.25">
      <c r="A1152" s="207"/>
      <c r="B1152" s="208"/>
    </row>
    <row r="1153" spans="1:2" s="209" customFormat="1" ht="16.5" customHeight="1" x14ac:dyDescent="0.25">
      <c r="A1153" s="207"/>
      <c r="B1153" s="208"/>
    </row>
    <row r="1154" spans="1:2" s="209" customFormat="1" ht="16.5" customHeight="1" x14ac:dyDescent="0.25">
      <c r="A1154" s="207"/>
      <c r="B1154" s="208"/>
    </row>
    <row r="1155" spans="1:2" s="209" customFormat="1" ht="16.5" customHeight="1" x14ac:dyDescent="0.25">
      <c r="A1155" s="207"/>
      <c r="B1155" s="208"/>
    </row>
    <row r="1156" spans="1:2" s="209" customFormat="1" ht="16.5" customHeight="1" x14ac:dyDescent="0.25">
      <c r="A1156" s="207"/>
      <c r="B1156" s="208"/>
    </row>
    <row r="1157" spans="1:2" s="209" customFormat="1" ht="16.5" customHeight="1" x14ac:dyDescent="0.25">
      <c r="A1157" s="207"/>
      <c r="B1157" s="208"/>
    </row>
    <row r="1158" spans="1:2" s="209" customFormat="1" ht="16.5" customHeight="1" x14ac:dyDescent="0.25">
      <c r="A1158" s="207"/>
      <c r="B1158" s="208"/>
    </row>
    <row r="1159" spans="1:2" s="209" customFormat="1" ht="16.5" customHeight="1" x14ac:dyDescent="0.25">
      <c r="A1159" s="207"/>
      <c r="B1159" s="208"/>
    </row>
    <row r="1160" spans="1:2" s="209" customFormat="1" ht="16.5" customHeight="1" x14ac:dyDescent="0.25">
      <c r="A1160" s="207"/>
      <c r="B1160" s="208"/>
    </row>
    <row r="1161" spans="1:2" s="209" customFormat="1" ht="16.5" customHeight="1" x14ac:dyDescent="0.25">
      <c r="A1161" s="207"/>
      <c r="B1161" s="208"/>
    </row>
    <row r="1162" spans="1:2" s="209" customFormat="1" ht="16.5" customHeight="1" x14ac:dyDescent="0.25">
      <c r="A1162" s="207"/>
      <c r="B1162" s="208"/>
    </row>
    <row r="1163" spans="1:2" s="209" customFormat="1" ht="16.5" customHeight="1" x14ac:dyDescent="0.25">
      <c r="A1163" s="207"/>
      <c r="B1163" s="208"/>
    </row>
    <row r="1164" spans="1:2" s="209" customFormat="1" ht="16.5" customHeight="1" x14ac:dyDescent="0.25">
      <c r="A1164" s="207"/>
      <c r="B1164" s="208"/>
    </row>
    <row r="1165" spans="1:2" s="209" customFormat="1" ht="16.5" customHeight="1" x14ac:dyDescent="0.25">
      <c r="A1165" s="207"/>
      <c r="B1165" s="208"/>
    </row>
    <row r="1166" spans="1:2" s="209" customFormat="1" ht="16.5" customHeight="1" x14ac:dyDescent="0.25">
      <c r="A1166" s="207"/>
      <c r="B1166" s="208"/>
    </row>
    <row r="1167" spans="1:2" s="209" customFormat="1" ht="16.5" customHeight="1" x14ac:dyDescent="0.25">
      <c r="A1167" s="207"/>
      <c r="B1167" s="208"/>
    </row>
    <row r="1168" spans="1:2" s="209" customFormat="1" ht="16.5" customHeight="1" x14ac:dyDescent="0.25">
      <c r="A1168" s="207"/>
      <c r="B1168" s="208"/>
    </row>
    <row r="1169" spans="1:2" s="209" customFormat="1" ht="16.5" customHeight="1" x14ac:dyDescent="0.25">
      <c r="A1169" s="207"/>
      <c r="B1169" s="208"/>
    </row>
    <row r="1170" spans="1:2" s="209" customFormat="1" ht="16.5" customHeight="1" x14ac:dyDescent="0.25">
      <c r="A1170" s="207"/>
      <c r="B1170" s="208"/>
    </row>
    <row r="1171" spans="1:2" s="209" customFormat="1" ht="16.5" customHeight="1" x14ac:dyDescent="0.25">
      <c r="A1171" s="207"/>
      <c r="B1171" s="208"/>
    </row>
    <row r="1172" spans="1:2" s="209" customFormat="1" ht="16.5" customHeight="1" x14ac:dyDescent="0.25">
      <c r="A1172" s="207"/>
      <c r="B1172" s="208"/>
    </row>
    <row r="1173" spans="1:2" s="209" customFormat="1" ht="16.5" customHeight="1" x14ac:dyDescent="0.25">
      <c r="A1173" s="207"/>
      <c r="B1173" s="208"/>
    </row>
    <row r="1174" spans="1:2" s="209" customFormat="1" ht="16.5" customHeight="1" x14ac:dyDescent="0.25">
      <c r="A1174" s="207"/>
      <c r="B1174" s="208"/>
    </row>
    <row r="1175" spans="1:2" s="209" customFormat="1" ht="16.5" customHeight="1" x14ac:dyDescent="0.25">
      <c r="A1175" s="207"/>
      <c r="B1175" s="208"/>
    </row>
    <row r="1176" spans="1:2" s="209" customFormat="1" ht="16.5" customHeight="1" x14ac:dyDescent="0.25">
      <c r="A1176" s="207"/>
      <c r="B1176" s="208"/>
    </row>
    <row r="1177" spans="1:2" s="209" customFormat="1" ht="16.5" customHeight="1" x14ac:dyDescent="0.25">
      <c r="A1177" s="207"/>
      <c r="B1177" s="208"/>
    </row>
    <row r="1178" spans="1:2" s="209" customFormat="1" ht="16.5" customHeight="1" x14ac:dyDescent="0.25">
      <c r="A1178" s="207"/>
      <c r="B1178" s="208"/>
    </row>
    <row r="1179" spans="1:2" s="209" customFormat="1" ht="16.5" customHeight="1" x14ac:dyDescent="0.25">
      <c r="A1179" s="207"/>
      <c r="B1179" s="208"/>
    </row>
    <row r="1180" spans="1:2" s="209" customFormat="1" ht="16.5" customHeight="1" x14ac:dyDescent="0.25">
      <c r="A1180" s="207"/>
      <c r="B1180" s="208"/>
    </row>
    <row r="1181" spans="1:2" s="209" customFormat="1" ht="16.5" customHeight="1" x14ac:dyDescent="0.25">
      <c r="A1181" s="207"/>
      <c r="B1181" s="208"/>
    </row>
    <row r="1182" spans="1:2" s="209" customFormat="1" ht="16.5" customHeight="1" x14ac:dyDescent="0.25">
      <c r="A1182" s="207"/>
      <c r="B1182" s="208"/>
    </row>
    <row r="1183" spans="1:2" s="209" customFormat="1" ht="16.5" customHeight="1" x14ac:dyDescent="0.25">
      <c r="A1183" s="207"/>
      <c r="B1183" s="208"/>
    </row>
    <row r="1184" spans="1:2" s="209" customFormat="1" ht="16.5" customHeight="1" x14ac:dyDescent="0.25">
      <c r="A1184" s="207"/>
      <c r="B1184" s="208"/>
    </row>
    <row r="1185" spans="1:2" s="209" customFormat="1" ht="16.5" customHeight="1" x14ac:dyDescent="0.25">
      <c r="A1185" s="207"/>
      <c r="B1185" s="208"/>
    </row>
    <row r="1186" spans="1:2" s="209" customFormat="1" ht="16.5" customHeight="1" x14ac:dyDescent="0.25">
      <c r="A1186" s="207"/>
      <c r="B1186" s="208"/>
    </row>
    <row r="1187" spans="1:2" s="209" customFormat="1" ht="16.5" customHeight="1" x14ac:dyDescent="0.25">
      <c r="A1187" s="207"/>
      <c r="B1187" s="208"/>
    </row>
    <row r="1188" spans="1:2" s="209" customFormat="1" ht="16.5" customHeight="1" x14ac:dyDescent="0.25">
      <c r="A1188" s="207"/>
      <c r="B1188" s="208"/>
    </row>
    <row r="1189" spans="1:2" s="209" customFormat="1" ht="16.5" customHeight="1" x14ac:dyDescent="0.25">
      <c r="A1189" s="207"/>
      <c r="B1189" s="208"/>
    </row>
    <row r="1190" spans="1:2" s="209" customFormat="1" ht="16.5" customHeight="1" x14ac:dyDescent="0.25">
      <c r="A1190" s="207"/>
      <c r="B1190" s="208"/>
    </row>
    <row r="1191" spans="1:2" s="209" customFormat="1" ht="16.5" customHeight="1" x14ac:dyDescent="0.25">
      <c r="A1191" s="207"/>
      <c r="B1191" s="208"/>
    </row>
    <row r="1192" spans="1:2" s="209" customFormat="1" ht="16.5" customHeight="1" x14ac:dyDescent="0.25">
      <c r="A1192" s="207"/>
      <c r="B1192" s="208"/>
    </row>
    <row r="1193" spans="1:2" s="209" customFormat="1" ht="16.5" customHeight="1" x14ac:dyDescent="0.25">
      <c r="A1193" s="207"/>
      <c r="B1193" s="208"/>
    </row>
    <row r="1194" spans="1:2" s="209" customFormat="1" ht="16.5" customHeight="1" x14ac:dyDescent="0.25">
      <c r="A1194" s="207"/>
      <c r="B1194" s="208"/>
    </row>
    <row r="1195" spans="1:2" s="209" customFormat="1" ht="16.5" customHeight="1" x14ac:dyDescent="0.25">
      <c r="A1195" s="207"/>
      <c r="B1195" s="208"/>
    </row>
    <row r="1196" spans="1:2" s="209" customFormat="1" ht="16.5" customHeight="1" x14ac:dyDescent="0.25">
      <c r="A1196" s="207"/>
      <c r="B1196" s="208"/>
    </row>
    <row r="1197" spans="1:2" s="209" customFormat="1" ht="16.5" customHeight="1" x14ac:dyDescent="0.25">
      <c r="A1197" s="207"/>
      <c r="B1197" s="208"/>
    </row>
    <row r="1198" spans="1:2" s="209" customFormat="1" ht="16.5" customHeight="1" x14ac:dyDescent="0.25">
      <c r="A1198" s="207"/>
      <c r="B1198" s="208"/>
    </row>
    <row r="1199" spans="1:2" s="209" customFormat="1" ht="16.5" customHeight="1" x14ac:dyDescent="0.25">
      <c r="A1199" s="207"/>
      <c r="B1199" s="208"/>
    </row>
    <row r="1200" spans="1:2" s="209" customFormat="1" ht="16.5" customHeight="1" x14ac:dyDescent="0.25">
      <c r="A1200" s="207"/>
      <c r="B1200" s="208"/>
    </row>
    <row r="1201" spans="1:2" s="209" customFormat="1" ht="16.5" customHeight="1" x14ac:dyDescent="0.25">
      <c r="A1201" s="207"/>
      <c r="B1201" s="208"/>
    </row>
    <row r="1202" spans="1:2" s="209" customFormat="1" ht="16.5" customHeight="1" x14ac:dyDescent="0.25">
      <c r="A1202" s="207"/>
      <c r="B1202" s="208"/>
    </row>
    <row r="1203" spans="1:2" s="209" customFormat="1" ht="16.5" customHeight="1" x14ac:dyDescent="0.25">
      <c r="A1203" s="207"/>
      <c r="B1203" s="208"/>
    </row>
    <row r="1204" spans="1:2" s="209" customFormat="1" ht="16.5" customHeight="1" x14ac:dyDescent="0.25">
      <c r="A1204" s="207"/>
      <c r="B1204" s="208"/>
    </row>
    <row r="1205" spans="1:2" s="209" customFormat="1" ht="16.5" customHeight="1" x14ac:dyDescent="0.25">
      <c r="A1205" s="207"/>
      <c r="B1205" s="208"/>
    </row>
    <row r="1206" spans="1:2" s="209" customFormat="1" ht="16.5" customHeight="1" x14ac:dyDescent="0.25">
      <c r="A1206" s="207"/>
      <c r="B1206" s="208"/>
    </row>
    <row r="1207" spans="1:2" s="209" customFormat="1" ht="16.5" customHeight="1" x14ac:dyDescent="0.25">
      <c r="A1207" s="207"/>
      <c r="B1207" s="208"/>
    </row>
    <row r="1208" spans="1:2" s="209" customFormat="1" ht="16.5" customHeight="1" x14ac:dyDescent="0.25">
      <c r="A1208" s="207"/>
      <c r="B1208" s="208"/>
    </row>
    <row r="1209" spans="1:2" s="209" customFormat="1" ht="16.5" customHeight="1" x14ac:dyDescent="0.25">
      <c r="A1209" s="207"/>
      <c r="B1209" s="208"/>
    </row>
    <row r="1210" spans="1:2" s="209" customFormat="1" ht="16.5" customHeight="1" x14ac:dyDescent="0.25">
      <c r="A1210" s="207"/>
      <c r="B1210" s="208"/>
    </row>
    <row r="1211" spans="1:2" s="209" customFormat="1" ht="16.5" customHeight="1" x14ac:dyDescent="0.25">
      <c r="A1211" s="207"/>
      <c r="B1211" s="208"/>
    </row>
    <row r="1212" spans="1:2" s="209" customFormat="1" ht="16.5" customHeight="1" x14ac:dyDescent="0.25">
      <c r="A1212" s="207"/>
      <c r="B1212" s="208"/>
    </row>
    <row r="1213" spans="1:2" s="209" customFormat="1" ht="16.5" customHeight="1" x14ac:dyDescent="0.25">
      <c r="A1213" s="207"/>
      <c r="B1213" s="208"/>
    </row>
    <row r="1214" spans="1:2" s="209" customFormat="1" ht="16.5" customHeight="1" x14ac:dyDescent="0.25">
      <c r="A1214" s="207"/>
      <c r="B1214" s="208"/>
    </row>
    <row r="1215" spans="1:2" s="209" customFormat="1" ht="16.5" customHeight="1" x14ac:dyDescent="0.25">
      <c r="A1215" s="207"/>
      <c r="B1215" s="208"/>
    </row>
    <row r="1216" spans="1:2" s="209" customFormat="1" ht="16.5" customHeight="1" x14ac:dyDescent="0.25">
      <c r="A1216" s="207"/>
      <c r="B1216" s="208"/>
    </row>
    <row r="1217" spans="1:2" s="209" customFormat="1" ht="16.5" customHeight="1" x14ac:dyDescent="0.25">
      <c r="A1217" s="207"/>
      <c r="B1217" s="208"/>
    </row>
    <row r="1218" spans="1:2" s="209" customFormat="1" ht="16.5" customHeight="1" x14ac:dyDescent="0.25">
      <c r="A1218" s="207"/>
      <c r="B1218" s="208"/>
    </row>
    <row r="1219" spans="1:2" s="209" customFormat="1" ht="16.5" customHeight="1" x14ac:dyDescent="0.25">
      <c r="A1219" s="207"/>
      <c r="B1219" s="208"/>
    </row>
    <row r="1220" spans="1:2" s="209" customFormat="1" ht="16.5" customHeight="1" x14ac:dyDescent="0.25">
      <c r="A1220" s="207"/>
      <c r="B1220" s="208"/>
    </row>
    <row r="1221" spans="1:2" s="209" customFormat="1" ht="16.5" customHeight="1" x14ac:dyDescent="0.25">
      <c r="A1221" s="207"/>
      <c r="B1221" s="208"/>
    </row>
    <row r="1222" spans="1:2" s="209" customFormat="1" ht="16.5" customHeight="1" x14ac:dyDescent="0.25">
      <c r="A1222" s="207"/>
      <c r="B1222" s="208"/>
    </row>
    <row r="1223" spans="1:2" s="209" customFormat="1" ht="16.5" customHeight="1" x14ac:dyDescent="0.25">
      <c r="A1223" s="207"/>
      <c r="B1223" s="208"/>
    </row>
    <row r="1224" spans="1:2" s="209" customFormat="1" ht="16.5" customHeight="1" x14ac:dyDescent="0.25">
      <c r="A1224" s="207"/>
      <c r="B1224" s="208"/>
    </row>
    <row r="1225" spans="1:2" s="209" customFormat="1" ht="16.5" customHeight="1" x14ac:dyDescent="0.25">
      <c r="A1225" s="207"/>
      <c r="B1225" s="208"/>
    </row>
    <row r="1226" spans="1:2" s="209" customFormat="1" ht="16.5" customHeight="1" x14ac:dyDescent="0.25">
      <c r="A1226" s="207"/>
      <c r="B1226" s="208"/>
    </row>
    <row r="1227" spans="1:2" s="209" customFormat="1" ht="16.5" customHeight="1" x14ac:dyDescent="0.25">
      <c r="A1227" s="207"/>
      <c r="B1227" s="208"/>
    </row>
    <row r="1228" spans="1:2" s="209" customFormat="1" ht="16.5" customHeight="1" x14ac:dyDescent="0.25">
      <c r="A1228" s="207"/>
      <c r="B1228" s="208"/>
    </row>
    <row r="1229" spans="1:2" s="209" customFormat="1" ht="16.5" customHeight="1" x14ac:dyDescent="0.25">
      <c r="A1229" s="207"/>
      <c r="B1229" s="208"/>
    </row>
    <row r="1230" spans="1:2" s="209" customFormat="1" ht="16.5" customHeight="1" x14ac:dyDescent="0.25">
      <c r="A1230" s="207"/>
      <c r="B1230" s="208"/>
    </row>
    <row r="1231" spans="1:2" s="209" customFormat="1" ht="16.5" customHeight="1" x14ac:dyDescent="0.25">
      <c r="A1231" s="207"/>
      <c r="B1231" s="208"/>
    </row>
    <row r="1232" spans="1:2" s="209" customFormat="1" ht="16.5" customHeight="1" x14ac:dyDescent="0.25">
      <c r="A1232" s="207"/>
      <c r="B1232" s="208"/>
    </row>
    <row r="1233" spans="1:2" s="209" customFormat="1" ht="16.5" customHeight="1" x14ac:dyDescent="0.25">
      <c r="A1233" s="207"/>
      <c r="B1233" s="208"/>
    </row>
    <row r="1234" spans="1:2" s="209" customFormat="1" ht="16.5" customHeight="1" x14ac:dyDescent="0.25">
      <c r="A1234" s="207"/>
      <c r="B1234" s="208"/>
    </row>
    <row r="1235" spans="1:2" s="209" customFormat="1" ht="16.5" customHeight="1" x14ac:dyDescent="0.25">
      <c r="A1235" s="207"/>
      <c r="B1235" s="208"/>
    </row>
    <row r="1236" spans="1:2" s="209" customFormat="1" ht="16.5" customHeight="1" x14ac:dyDescent="0.25">
      <c r="A1236" s="207"/>
      <c r="B1236" s="208"/>
    </row>
    <row r="1237" spans="1:2" s="209" customFormat="1" ht="16.5" customHeight="1" x14ac:dyDescent="0.25">
      <c r="A1237" s="207"/>
      <c r="B1237" s="208"/>
    </row>
    <row r="1238" spans="1:2" s="209" customFormat="1" ht="16.5" customHeight="1" x14ac:dyDescent="0.25">
      <c r="A1238" s="207"/>
      <c r="B1238" s="208"/>
    </row>
    <row r="1239" spans="1:2" s="209" customFormat="1" ht="16.5" customHeight="1" x14ac:dyDescent="0.25">
      <c r="A1239" s="207"/>
      <c r="B1239" s="208"/>
    </row>
    <row r="1240" spans="1:2" s="209" customFormat="1" ht="16.5" customHeight="1" x14ac:dyDescent="0.25">
      <c r="A1240" s="207"/>
      <c r="B1240" s="208"/>
    </row>
    <row r="1241" spans="1:2" s="209" customFormat="1" ht="16.5" customHeight="1" x14ac:dyDescent="0.25">
      <c r="A1241" s="207"/>
      <c r="B1241" s="208"/>
    </row>
    <row r="1242" spans="1:2" s="209" customFormat="1" ht="16.5" customHeight="1" x14ac:dyDescent="0.25">
      <c r="A1242" s="207"/>
      <c r="B1242" s="208"/>
    </row>
    <row r="1243" spans="1:2" s="209" customFormat="1" ht="16.5" customHeight="1" x14ac:dyDescent="0.25">
      <c r="A1243" s="207"/>
      <c r="B1243" s="208"/>
    </row>
    <row r="1244" spans="1:2" s="209" customFormat="1" ht="16.5" customHeight="1" x14ac:dyDescent="0.25">
      <c r="A1244" s="207"/>
      <c r="B1244" s="208"/>
    </row>
    <row r="1245" spans="1:2" s="209" customFormat="1" ht="16.5" customHeight="1" x14ac:dyDescent="0.25">
      <c r="A1245" s="207"/>
      <c r="B1245" s="208"/>
    </row>
    <row r="1246" spans="1:2" s="209" customFormat="1" ht="16.5" customHeight="1" x14ac:dyDescent="0.25">
      <c r="A1246" s="207"/>
      <c r="B1246" s="208"/>
    </row>
    <row r="1247" spans="1:2" s="209" customFormat="1" ht="16.5" customHeight="1" x14ac:dyDescent="0.25">
      <c r="A1247" s="207"/>
      <c r="B1247" s="208"/>
    </row>
    <row r="1248" spans="1:2" s="209" customFormat="1" ht="16.5" customHeight="1" x14ac:dyDescent="0.25">
      <c r="A1248" s="207"/>
      <c r="B1248" s="208"/>
    </row>
    <row r="1249" spans="1:2" s="209" customFormat="1" ht="16.5" customHeight="1" x14ac:dyDescent="0.25">
      <c r="A1249" s="207"/>
      <c r="B1249" s="208"/>
    </row>
    <row r="1250" spans="1:2" s="209" customFormat="1" ht="16.5" customHeight="1" x14ac:dyDescent="0.25">
      <c r="A1250" s="207"/>
      <c r="B1250" s="208"/>
    </row>
    <row r="1251" spans="1:2" s="209" customFormat="1" ht="16.5" customHeight="1" x14ac:dyDescent="0.25">
      <c r="A1251" s="207"/>
      <c r="B1251" s="208"/>
    </row>
    <row r="1252" spans="1:2" s="209" customFormat="1" ht="16.5" customHeight="1" x14ac:dyDescent="0.25">
      <c r="A1252" s="207"/>
      <c r="B1252" s="208"/>
    </row>
    <row r="1253" spans="1:2" s="209" customFormat="1" ht="16.5" customHeight="1" x14ac:dyDescent="0.25">
      <c r="A1253" s="207"/>
      <c r="B1253" s="208"/>
    </row>
    <row r="1254" spans="1:2" s="209" customFormat="1" ht="16.5" customHeight="1" x14ac:dyDescent="0.25">
      <c r="A1254" s="207"/>
      <c r="B1254" s="208"/>
    </row>
    <row r="1255" spans="1:2" s="209" customFormat="1" ht="16.5" customHeight="1" x14ac:dyDescent="0.25">
      <c r="A1255" s="207"/>
      <c r="B1255" s="208"/>
    </row>
    <row r="1256" spans="1:2" s="209" customFormat="1" ht="16.5" customHeight="1" x14ac:dyDescent="0.25">
      <c r="A1256" s="207"/>
      <c r="B1256" s="208"/>
    </row>
    <row r="1257" spans="1:2" s="209" customFormat="1" ht="16.5" customHeight="1" x14ac:dyDescent="0.25">
      <c r="A1257" s="207"/>
      <c r="B1257" s="208"/>
    </row>
    <row r="1258" spans="1:2" s="209" customFormat="1" ht="16.5" customHeight="1" x14ac:dyDescent="0.25">
      <c r="A1258" s="207"/>
      <c r="B1258" s="208"/>
    </row>
    <row r="1259" spans="1:2" s="209" customFormat="1" ht="16.5" customHeight="1" x14ac:dyDescent="0.25">
      <c r="A1259" s="207"/>
      <c r="B1259" s="208"/>
    </row>
    <row r="1260" spans="1:2" s="209" customFormat="1" ht="16.5" customHeight="1" x14ac:dyDescent="0.25">
      <c r="A1260" s="207"/>
      <c r="B1260" s="208"/>
    </row>
    <row r="1261" spans="1:2" s="209" customFormat="1" ht="16.5" customHeight="1" x14ac:dyDescent="0.25">
      <c r="A1261" s="207"/>
      <c r="B1261" s="208"/>
    </row>
    <row r="1262" spans="1:2" s="209" customFormat="1" ht="16.5" customHeight="1" x14ac:dyDescent="0.25">
      <c r="A1262" s="207"/>
      <c r="B1262" s="208"/>
    </row>
    <row r="1263" spans="1:2" s="209" customFormat="1" ht="16.5" customHeight="1" x14ac:dyDescent="0.25">
      <c r="A1263" s="207"/>
      <c r="B1263" s="208"/>
    </row>
    <row r="1264" spans="1:2" s="209" customFormat="1" ht="16.5" customHeight="1" x14ac:dyDescent="0.25">
      <c r="A1264" s="207"/>
      <c r="B1264" s="208"/>
    </row>
    <row r="1265" spans="1:2" s="209" customFormat="1" ht="16.5" customHeight="1" x14ac:dyDescent="0.25">
      <c r="A1265" s="207"/>
      <c r="B1265" s="208"/>
    </row>
    <row r="1266" spans="1:2" s="209" customFormat="1" ht="16.5" customHeight="1" x14ac:dyDescent="0.25">
      <c r="A1266" s="207"/>
      <c r="B1266" s="208"/>
    </row>
    <row r="1267" spans="1:2" s="209" customFormat="1" ht="16.5" customHeight="1" x14ac:dyDescent="0.25">
      <c r="A1267" s="207"/>
      <c r="B1267" s="208"/>
    </row>
    <row r="1268" spans="1:2" s="209" customFormat="1" ht="16.5" customHeight="1" x14ac:dyDescent="0.25">
      <c r="A1268" s="207"/>
      <c r="B1268" s="208"/>
    </row>
    <row r="1269" spans="1:2" s="209" customFormat="1" ht="16.5" customHeight="1" x14ac:dyDescent="0.25">
      <c r="A1269" s="207"/>
      <c r="B1269" s="208"/>
    </row>
    <row r="1270" spans="1:2" s="209" customFormat="1" ht="16.5" customHeight="1" x14ac:dyDescent="0.25">
      <c r="A1270" s="207"/>
      <c r="B1270" s="208"/>
    </row>
    <row r="1271" spans="1:2" s="209" customFormat="1" ht="16.5" customHeight="1" x14ac:dyDescent="0.25">
      <c r="A1271" s="207"/>
      <c r="B1271" s="208"/>
    </row>
    <row r="1272" spans="1:2" s="209" customFormat="1" ht="16.5" customHeight="1" x14ac:dyDescent="0.25">
      <c r="A1272" s="207"/>
      <c r="B1272" s="208"/>
    </row>
    <row r="1273" spans="1:2" s="209" customFormat="1" ht="16.5" customHeight="1" x14ac:dyDescent="0.25">
      <c r="A1273" s="207"/>
      <c r="B1273" s="208"/>
    </row>
    <row r="1274" spans="1:2" s="209" customFormat="1" ht="16.5" customHeight="1" x14ac:dyDescent="0.25">
      <c r="A1274" s="207"/>
      <c r="B1274" s="208"/>
    </row>
    <row r="1275" spans="1:2" s="209" customFormat="1" ht="16.5" customHeight="1" x14ac:dyDescent="0.25">
      <c r="A1275" s="207"/>
      <c r="B1275" s="208"/>
    </row>
    <row r="1276" spans="1:2" s="209" customFormat="1" ht="16.5" customHeight="1" x14ac:dyDescent="0.25">
      <c r="A1276" s="207"/>
      <c r="B1276" s="208"/>
    </row>
    <row r="1277" spans="1:2" s="209" customFormat="1" ht="16.5" customHeight="1" x14ac:dyDescent="0.25">
      <c r="A1277" s="207"/>
      <c r="B1277" s="208"/>
    </row>
    <row r="1278" spans="1:2" s="209" customFormat="1" ht="16.5" customHeight="1" x14ac:dyDescent="0.25">
      <c r="A1278" s="207"/>
      <c r="B1278" s="208"/>
    </row>
    <row r="1279" spans="1:2" s="209" customFormat="1" ht="16.5" customHeight="1" x14ac:dyDescent="0.25">
      <c r="A1279" s="207"/>
      <c r="B1279" s="208"/>
    </row>
    <row r="1280" spans="1:2" s="209" customFormat="1" ht="16.5" customHeight="1" x14ac:dyDescent="0.25">
      <c r="A1280" s="207"/>
      <c r="B1280" s="208"/>
    </row>
    <row r="1281" spans="1:2" s="209" customFormat="1" ht="16.5" customHeight="1" x14ac:dyDescent="0.25">
      <c r="A1281" s="207"/>
      <c r="B1281" s="208"/>
    </row>
    <row r="1282" spans="1:2" s="209" customFormat="1" ht="16.5" customHeight="1" x14ac:dyDescent="0.25">
      <c r="A1282" s="207"/>
      <c r="B1282" s="208"/>
    </row>
    <row r="1283" spans="1:2" s="209" customFormat="1" ht="16.5" customHeight="1" x14ac:dyDescent="0.25">
      <c r="A1283" s="207"/>
      <c r="B1283" s="208"/>
    </row>
    <row r="1284" spans="1:2" s="209" customFormat="1" ht="16.5" customHeight="1" x14ac:dyDescent="0.25">
      <c r="A1284" s="207"/>
      <c r="B1284" s="208"/>
    </row>
    <row r="1285" spans="1:2" s="209" customFormat="1" ht="16.5" customHeight="1" x14ac:dyDescent="0.25">
      <c r="A1285" s="207"/>
      <c r="B1285" s="208"/>
    </row>
    <row r="1286" spans="1:2" s="209" customFormat="1" ht="16.5" customHeight="1" x14ac:dyDescent="0.25">
      <c r="A1286" s="207"/>
      <c r="B1286" s="208"/>
    </row>
    <row r="1287" spans="1:2" s="209" customFormat="1" ht="16.5" customHeight="1" x14ac:dyDescent="0.25">
      <c r="A1287" s="207"/>
      <c r="B1287" s="208"/>
    </row>
    <row r="1288" spans="1:2" s="209" customFormat="1" ht="16.5" customHeight="1" x14ac:dyDescent="0.25">
      <c r="A1288" s="207"/>
      <c r="B1288" s="208"/>
    </row>
    <row r="1289" spans="1:2" s="209" customFormat="1" ht="16.5" customHeight="1" x14ac:dyDescent="0.25">
      <c r="A1289" s="207"/>
      <c r="B1289" s="208"/>
    </row>
    <row r="1290" spans="1:2" s="209" customFormat="1" ht="16.5" customHeight="1" x14ac:dyDescent="0.25">
      <c r="A1290" s="207"/>
      <c r="B1290" s="208"/>
    </row>
    <row r="1291" spans="1:2" s="209" customFormat="1" ht="16.5" customHeight="1" x14ac:dyDescent="0.25">
      <c r="A1291" s="207"/>
      <c r="B1291" s="208"/>
    </row>
    <row r="1292" spans="1:2" s="209" customFormat="1" ht="16.5" customHeight="1" x14ac:dyDescent="0.25">
      <c r="A1292" s="207"/>
      <c r="B1292" s="208"/>
    </row>
    <row r="1293" spans="1:2" s="209" customFormat="1" ht="16.5" customHeight="1" x14ac:dyDescent="0.25">
      <c r="A1293" s="207"/>
      <c r="B1293" s="208"/>
    </row>
    <row r="1294" spans="1:2" s="209" customFormat="1" ht="16.5" customHeight="1" x14ac:dyDescent="0.25">
      <c r="A1294" s="207"/>
      <c r="B1294" s="208"/>
    </row>
    <row r="1295" spans="1:2" s="209" customFormat="1" ht="16.5" customHeight="1" x14ac:dyDescent="0.25">
      <c r="A1295" s="207"/>
      <c r="B1295" s="208"/>
    </row>
    <row r="1296" spans="1:2" s="209" customFormat="1" ht="16.5" customHeight="1" x14ac:dyDescent="0.25">
      <c r="A1296" s="207"/>
      <c r="B1296" s="208"/>
    </row>
    <row r="1297" spans="1:2" s="209" customFormat="1" ht="16.5" customHeight="1" x14ac:dyDescent="0.25">
      <c r="A1297" s="207"/>
      <c r="B1297" s="208"/>
    </row>
    <row r="1298" spans="1:2" s="209" customFormat="1" ht="16.5" customHeight="1" x14ac:dyDescent="0.25">
      <c r="A1298" s="207"/>
      <c r="B1298" s="208"/>
    </row>
    <row r="1299" spans="1:2" s="209" customFormat="1" ht="16.5" customHeight="1" x14ac:dyDescent="0.25">
      <c r="A1299" s="207"/>
      <c r="B1299" s="208"/>
    </row>
    <row r="1300" spans="1:2" s="209" customFormat="1" ht="16.5" customHeight="1" x14ac:dyDescent="0.25">
      <c r="A1300" s="207"/>
      <c r="B1300" s="208"/>
    </row>
    <row r="1301" spans="1:2" s="209" customFormat="1" ht="16.5" customHeight="1" x14ac:dyDescent="0.25">
      <c r="A1301" s="207"/>
      <c r="B1301" s="208"/>
    </row>
    <row r="1302" spans="1:2" s="209" customFormat="1" ht="16.5" customHeight="1" x14ac:dyDescent="0.25">
      <c r="A1302" s="207"/>
      <c r="B1302" s="208"/>
    </row>
    <row r="1303" spans="1:2" s="209" customFormat="1" ht="16.5" customHeight="1" x14ac:dyDescent="0.25">
      <c r="A1303" s="207"/>
      <c r="B1303" s="208"/>
    </row>
    <row r="1304" spans="1:2" s="209" customFormat="1" ht="16.5" customHeight="1" x14ac:dyDescent="0.25">
      <c r="A1304" s="207"/>
      <c r="B1304" s="208"/>
    </row>
    <row r="1305" spans="1:2" s="209" customFormat="1" ht="16.5" customHeight="1" x14ac:dyDescent="0.25">
      <c r="A1305" s="207"/>
      <c r="B1305" s="208"/>
    </row>
    <row r="1306" spans="1:2" s="209" customFormat="1" ht="16.5" customHeight="1" x14ac:dyDescent="0.25">
      <c r="A1306" s="207"/>
      <c r="B1306" s="208"/>
    </row>
    <row r="1307" spans="1:2" s="209" customFormat="1" ht="16.5" customHeight="1" x14ac:dyDescent="0.25">
      <c r="A1307" s="207"/>
      <c r="B1307" s="208"/>
    </row>
    <row r="1308" spans="1:2" s="209" customFormat="1" ht="16.5" customHeight="1" x14ac:dyDescent="0.25">
      <c r="A1308" s="207"/>
      <c r="B1308" s="208"/>
    </row>
    <row r="1309" spans="1:2" s="209" customFormat="1" ht="16.5" customHeight="1" x14ac:dyDescent="0.25">
      <c r="A1309" s="207"/>
      <c r="B1309" s="208"/>
    </row>
    <row r="1310" spans="1:2" s="209" customFormat="1" ht="16.5" customHeight="1" x14ac:dyDescent="0.25">
      <c r="A1310" s="207"/>
      <c r="B1310" s="208"/>
    </row>
    <row r="1311" spans="1:2" s="209" customFormat="1" ht="16.5" customHeight="1" x14ac:dyDescent="0.25">
      <c r="A1311" s="207"/>
      <c r="B1311" s="208"/>
    </row>
    <row r="1312" spans="1:2" s="209" customFormat="1" ht="16.5" customHeight="1" x14ac:dyDescent="0.25">
      <c r="A1312" s="207"/>
      <c r="B1312" s="208"/>
    </row>
    <row r="1313" spans="1:2" s="209" customFormat="1" ht="16.5" customHeight="1" x14ac:dyDescent="0.25">
      <c r="A1313" s="207"/>
      <c r="B1313" s="208"/>
    </row>
    <row r="1314" spans="1:2" s="209" customFormat="1" ht="16.5" customHeight="1" x14ac:dyDescent="0.25">
      <c r="A1314" s="207"/>
      <c r="B1314" s="208"/>
    </row>
    <row r="1315" spans="1:2" s="209" customFormat="1" ht="16.5" customHeight="1" x14ac:dyDescent="0.25">
      <c r="A1315" s="207"/>
      <c r="B1315" s="208"/>
    </row>
    <row r="1316" spans="1:2" s="209" customFormat="1" ht="16.5" customHeight="1" x14ac:dyDescent="0.25">
      <c r="A1316" s="207"/>
      <c r="B1316" s="208"/>
    </row>
    <row r="1317" spans="1:2" s="209" customFormat="1" ht="16.5" customHeight="1" x14ac:dyDescent="0.25">
      <c r="A1317" s="207"/>
      <c r="B1317" s="208"/>
    </row>
    <row r="1318" spans="1:2" s="209" customFormat="1" ht="16.5" customHeight="1" x14ac:dyDescent="0.25">
      <c r="A1318" s="207"/>
      <c r="B1318" s="208"/>
    </row>
    <row r="1319" spans="1:2" s="209" customFormat="1" ht="16.5" customHeight="1" x14ac:dyDescent="0.25">
      <c r="A1319" s="207"/>
      <c r="B1319" s="208"/>
    </row>
    <row r="1320" spans="1:2" s="209" customFormat="1" ht="16.5" customHeight="1" x14ac:dyDescent="0.25">
      <c r="A1320" s="207"/>
      <c r="B1320" s="208"/>
    </row>
    <row r="1321" spans="1:2" s="209" customFormat="1" ht="16.5" customHeight="1" x14ac:dyDescent="0.25">
      <c r="A1321" s="207"/>
      <c r="B1321" s="208"/>
    </row>
    <row r="1322" spans="1:2" s="209" customFormat="1" ht="16.5" customHeight="1" x14ac:dyDescent="0.25">
      <c r="A1322" s="207"/>
      <c r="B1322" s="208"/>
    </row>
    <row r="1323" spans="1:2" s="209" customFormat="1" ht="16.5" customHeight="1" x14ac:dyDescent="0.25">
      <c r="A1323" s="207"/>
      <c r="B1323" s="208"/>
    </row>
    <row r="1324" spans="1:2" s="209" customFormat="1" ht="16.5" customHeight="1" x14ac:dyDescent="0.25">
      <c r="A1324" s="207"/>
      <c r="B1324" s="208"/>
    </row>
    <row r="1325" spans="1:2" s="209" customFormat="1" ht="16.5" customHeight="1" x14ac:dyDescent="0.25">
      <c r="A1325" s="207"/>
      <c r="B1325" s="208"/>
    </row>
    <row r="1326" spans="1:2" s="209" customFormat="1" ht="16.5" customHeight="1" x14ac:dyDescent="0.25">
      <c r="A1326" s="207"/>
      <c r="B1326" s="208"/>
    </row>
    <row r="1327" spans="1:2" s="209" customFormat="1" ht="16.5" customHeight="1" x14ac:dyDescent="0.25">
      <c r="A1327" s="207"/>
      <c r="B1327" s="208"/>
    </row>
    <row r="1328" spans="1:2" s="209" customFormat="1" ht="16.5" customHeight="1" x14ac:dyDescent="0.25">
      <c r="A1328" s="207"/>
      <c r="B1328" s="208"/>
    </row>
    <row r="1329" spans="1:2" s="209" customFormat="1" ht="16.5" customHeight="1" x14ac:dyDescent="0.25">
      <c r="A1329" s="207"/>
      <c r="B1329" s="208"/>
    </row>
    <row r="1330" spans="1:2" s="209" customFormat="1" ht="16.5" customHeight="1" x14ac:dyDescent="0.25">
      <c r="A1330" s="207"/>
      <c r="B1330" s="208"/>
    </row>
    <row r="1331" spans="1:2" s="209" customFormat="1" ht="16.5" customHeight="1" x14ac:dyDescent="0.25">
      <c r="A1331" s="207"/>
      <c r="B1331" s="208"/>
    </row>
    <row r="1332" spans="1:2" s="209" customFormat="1" ht="16.5" customHeight="1" x14ac:dyDescent="0.25">
      <c r="A1332" s="207"/>
      <c r="B1332" s="208"/>
    </row>
    <row r="1333" spans="1:2" s="209" customFormat="1" ht="16.5" customHeight="1" x14ac:dyDescent="0.25">
      <c r="A1333" s="207"/>
      <c r="B1333" s="208"/>
    </row>
    <row r="1334" spans="1:2" s="209" customFormat="1" ht="16.5" customHeight="1" x14ac:dyDescent="0.25">
      <c r="A1334" s="207"/>
      <c r="B1334" s="208"/>
    </row>
    <row r="1335" spans="1:2" s="209" customFormat="1" ht="16.5" customHeight="1" x14ac:dyDescent="0.25">
      <c r="A1335" s="207"/>
      <c r="B1335" s="208"/>
    </row>
    <row r="1336" spans="1:2" s="209" customFormat="1" ht="16.5" customHeight="1" x14ac:dyDescent="0.25">
      <c r="A1336" s="207"/>
      <c r="B1336" s="208"/>
    </row>
    <row r="1337" spans="1:2" s="209" customFormat="1" ht="16.5" customHeight="1" x14ac:dyDescent="0.25">
      <c r="A1337" s="207"/>
      <c r="B1337" s="208"/>
    </row>
    <row r="1338" spans="1:2" s="209" customFormat="1" ht="16.5" customHeight="1" x14ac:dyDescent="0.25">
      <c r="A1338" s="207"/>
      <c r="B1338" s="208"/>
    </row>
    <row r="1339" spans="1:2" s="209" customFormat="1" ht="16.5" customHeight="1" x14ac:dyDescent="0.25">
      <c r="A1339" s="207"/>
      <c r="B1339" s="208"/>
    </row>
    <row r="1340" spans="1:2" s="209" customFormat="1" ht="16.5" customHeight="1" x14ac:dyDescent="0.25">
      <c r="A1340" s="207"/>
      <c r="B1340" s="208"/>
    </row>
    <row r="1341" spans="1:2" s="209" customFormat="1" ht="16.5" customHeight="1" x14ac:dyDescent="0.25">
      <c r="A1341" s="207"/>
      <c r="B1341" s="208"/>
    </row>
    <row r="1342" spans="1:2" s="209" customFormat="1" ht="16.5" customHeight="1" x14ac:dyDescent="0.25">
      <c r="A1342" s="207"/>
      <c r="B1342" s="208"/>
    </row>
    <row r="1343" spans="1:2" s="209" customFormat="1" ht="16.5" customHeight="1" x14ac:dyDescent="0.25">
      <c r="A1343" s="207"/>
      <c r="B1343" s="208"/>
    </row>
    <row r="1344" spans="1:2" s="209" customFormat="1" ht="16.5" customHeight="1" x14ac:dyDescent="0.25">
      <c r="A1344" s="207"/>
      <c r="B1344" s="208"/>
    </row>
    <row r="1345" spans="1:2" s="209" customFormat="1" ht="16.5" customHeight="1" x14ac:dyDescent="0.25">
      <c r="A1345" s="207"/>
      <c r="B1345" s="208"/>
    </row>
    <row r="1346" spans="1:2" s="209" customFormat="1" ht="16.5" customHeight="1" x14ac:dyDescent="0.25">
      <c r="A1346" s="207"/>
      <c r="B1346" s="208"/>
    </row>
    <row r="1347" spans="1:2" s="209" customFormat="1" ht="16.5" customHeight="1" x14ac:dyDescent="0.25">
      <c r="A1347" s="207"/>
      <c r="B1347" s="208"/>
    </row>
    <row r="1348" spans="1:2" s="209" customFormat="1" ht="16.5" customHeight="1" x14ac:dyDescent="0.25">
      <c r="A1348" s="207"/>
      <c r="B1348" s="208"/>
    </row>
    <row r="1349" spans="1:2" s="209" customFormat="1" ht="16.5" customHeight="1" x14ac:dyDescent="0.25">
      <c r="A1349" s="207"/>
      <c r="B1349" s="208"/>
    </row>
    <row r="1350" spans="1:2" s="209" customFormat="1" ht="16.5" customHeight="1" x14ac:dyDescent="0.25">
      <c r="A1350" s="207"/>
      <c r="B1350" s="208"/>
    </row>
    <row r="1351" spans="1:2" s="209" customFormat="1" ht="16.5" customHeight="1" x14ac:dyDescent="0.25">
      <c r="A1351" s="207"/>
      <c r="B1351" s="208"/>
    </row>
    <row r="1352" spans="1:2" s="209" customFormat="1" ht="16.5" customHeight="1" x14ac:dyDescent="0.25">
      <c r="A1352" s="207"/>
      <c r="B1352" s="208"/>
    </row>
    <row r="1353" spans="1:2" s="209" customFormat="1" ht="16.5" customHeight="1" x14ac:dyDescent="0.25">
      <c r="A1353" s="207"/>
      <c r="B1353" s="208"/>
    </row>
    <row r="1354" spans="1:2" s="209" customFormat="1" ht="16.5" customHeight="1" x14ac:dyDescent="0.25">
      <c r="A1354" s="207"/>
      <c r="B1354" s="208"/>
    </row>
    <row r="1355" spans="1:2" s="209" customFormat="1" ht="16.5" customHeight="1" x14ac:dyDescent="0.25">
      <c r="A1355" s="207"/>
      <c r="B1355" s="208"/>
    </row>
    <row r="1356" spans="1:2" s="209" customFormat="1" ht="16.5" customHeight="1" x14ac:dyDescent="0.25">
      <c r="A1356" s="207"/>
      <c r="B1356" s="208"/>
    </row>
    <row r="1357" spans="1:2" s="209" customFormat="1" ht="16.5" customHeight="1" x14ac:dyDescent="0.25">
      <c r="A1357" s="207"/>
      <c r="B1357" s="208"/>
    </row>
    <row r="1358" spans="1:2" s="209" customFormat="1" ht="16.5" customHeight="1" x14ac:dyDescent="0.25">
      <c r="A1358" s="207"/>
      <c r="B1358" s="208"/>
    </row>
    <row r="1359" spans="1:2" s="209" customFormat="1" ht="16.5" customHeight="1" x14ac:dyDescent="0.25">
      <c r="A1359" s="207"/>
      <c r="B1359" s="208"/>
    </row>
    <row r="1360" spans="1:2" s="209" customFormat="1" ht="16.5" customHeight="1" x14ac:dyDescent="0.25">
      <c r="A1360" s="207"/>
      <c r="B1360" s="208"/>
    </row>
    <row r="1361" spans="1:2" s="209" customFormat="1" ht="16.5" customHeight="1" x14ac:dyDescent="0.25">
      <c r="A1361" s="207"/>
      <c r="B1361" s="208"/>
    </row>
    <row r="1362" spans="1:2" s="209" customFormat="1" ht="16.5" customHeight="1" x14ac:dyDescent="0.25">
      <c r="A1362" s="207"/>
      <c r="B1362" s="208"/>
    </row>
    <row r="1363" spans="1:2" s="209" customFormat="1" ht="16.5" customHeight="1" x14ac:dyDescent="0.25">
      <c r="A1363" s="207"/>
      <c r="B1363" s="208"/>
    </row>
    <row r="1364" spans="1:2" s="209" customFormat="1" ht="16.5" customHeight="1" x14ac:dyDescent="0.25">
      <c r="A1364" s="207"/>
      <c r="B1364" s="208"/>
    </row>
    <row r="1365" spans="1:2" s="209" customFormat="1" ht="16.5" customHeight="1" x14ac:dyDescent="0.25">
      <c r="A1365" s="207"/>
      <c r="B1365" s="208"/>
    </row>
    <row r="1366" spans="1:2" s="209" customFormat="1" ht="16.5" customHeight="1" x14ac:dyDescent="0.25">
      <c r="A1366" s="207"/>
      <c r="B1366" s="208"/>
    </row>
    <row r="1367" spans="1:2" s="209" customFormat="1" ht="16.5" customHeight="1" x14ac:dyDescent="0.25">
      <c r="A1367" s="207"/>
      <c r="B1367" s="208"/>
    </row>
    <row r="1368" spans="1:2" s="209" customFormat="1" ht="16.5" customHeight="1" x14ac:dyDescent="0.25">
      <c r="A1368" s="207"/>
      <c r="B1368" s="208"/>
    </row>
    <row r="1369" spans="1:2" s="209" customFormat="1" ht="16.5" customHeight="1" x14ac:dyDescent="0.25">
      <c r="A1369" s="207"/>
      <c r="B1369" s="208"/>
    </row>
    <row r="1370" spans="1:2" s="209" customFormat="1" ht="16.5" customHeight="1" x14ac:dyDescent="0.25">
      <c r="A1370" s="207"/>
      <c r="B1370" s="208"/>
    </row>
    <row r="1371" spans="1:2" s="209" customFormat="1" ht="16.5" customHeight="1" x14ac:dyDescent="0.25">
      <c r="A1371" s="207"/>
      <c r="B1371" s="208"/>
    </row>
    <row r="1372" spans="1:2" s="209" customFormat="1" ht="16.5" customHeight="1" x14ac:dyDescent="0.25">
      <c r="A1372" s="207"/>
      <c r="B1372" s="208"/>
    </row>
    <row r="1373" spans="1:2" s="209" customFormat="1" ht="16.5" customHeight="1" x14ac:dyDescent="0.25">
      <c r="A1373" s="207"/>
      <c r="B1373" s="208"/>
    </row>
    <row r="1374" spans="1:2" s="209" customFormat="1" ht="16.5" customHeight="1" x14ac:dyDescent="0.25">
      <c r="A1374" s="207"/>
      <c r="B1374" s="208"/>
    </row>
    <row r="1375" spans="1:2" s="209" customFormat="1" ht="16.5" customHeight="1" x14ac:dyDescent="0.25">
      <c r="A1375" s="207"/>
      <c r="B1375" s="208"/>
    </row>
    <row r="1376" spans="1:2" s="209" customFormat="1" ht="16.5" customHeight="1" x14ac:dyDescent="0.25">
      <c r="A1376" s="207"/>
      <c r="B1376" s="208"/>
    </row>
    <row r="1377" spans="1:2" s="209" customFormat="1" ht="16.5" customHeight="1" x14ac:dyDescent="0.25">
      <c r="A1377" s="207"/>
      <c r="B1377" s="208"/>
    </row>
    <row r="1378" spans="1:2" s="209" customFormat="1" ht="16.5" customHeight="1" x14ac:dyDescent="0.25">
      <c r="A1378" s="207"/>
      <c r="B1378" s="208"/>
    </row>
    <row r="1379" spans="1:2" s="209" customFormat="1" ht="16.5" customHeight="1" x14ac:dyDescent="0.25">
      <c r="A1379" s="207"/>
      <c r="B1379" s="208"/>
    </row>
    <row r="1380" spans="1:2" s="209" customFormat="1" ht="16.5" customHeight="1" x14ac:dyDescent="0.25">
      <c r="A1380" s="207"/>
      <c r="B1380" s="208"/>
    </row>
    <row r="1381" spans="1:2" s="209" customFormat="1" ht="16.5" customHeight="1" x14ac:dyDescent="0.25">
      <c r="A1381" s="207"/>
      <c r="B1381" s="208"/>
    </row>
    <row r="1382" spans="1:2" s="209" customFormat="1" ht="16.5" customHeight="1" x14ac:dyDescent="0.25">
      <c r="A1382" s="207"/>
      <c r="B1382" s="208"/>
    </row>
    <row r="1383" spans="1:2" s="209" customFormat="1" ht="16.5" customHeight="1" x14ac:dyDescent="0.25">
      <c r="A1383" s="207"/>
      <c r="B1383" s="208"/>
    </row>
    <row r="1384" spans="1:2" s="209" customFormat="1" ht="16.5" customHeight="1" x14ac:dyDescent="0.25">
      <c r="A1384" s="207"/>
      <c r="B1384" s="208"/>
    </row>
    <row r="1385" spans="1:2" s="209" customFormat="1" ht="16.5" customHeight="1" x14ac:dyDescent="0.25">
      <c r="A1385" s="207"/>
      <c r="B1385" s="208"/>
    </row>
    <row r="1386" spans="1:2" s="209" customFormat="1" ht="16.5" customHeight="1" x14ac:dyDescent="0.25">
      <c r="A1386" s="207"/>
      <c r="B1386" s="208"/>
    </row>
    <row r="1387" spans="1:2" s="209" customFormat="1" ht="16.5" customHeight="1" x14ac:dyDescent="0.25">
      <c r="A1387" s="207"/>
      <c r="B1387" s="208"/>
    </row>
    <row r="1388" spans="1:2" s="209" customFormat="1" ht="16.5" customHeight="1" x14ac:dyDescent="0.25">
      <c r="A1388" s="207"/>
      <c r="B1388" s="208"/>
    </row>
    <row r="1389" spans="1:2" s="209" customFormat="1" ht="16.5" customHeight="1" x14ac:dyDescent="0.25">
      <c r="A1389" s="207"/>
      <c r="B1389" s="208"/>
    </row>
    <row r="1390" spans="1:2" s="209" customFormat="1" ht="16.5" customHeight="1" x14ac:dyDescent="0.25">
      <c r="A1390" s="207"/>
      <c r="B1390" s="208"/>
    </row>
    <row r="1391" spans="1:2" s="209" customFormat="1" ht="16.5" customHeight="1" x14ac:dyDescent="0.25">
      <c r="A1391" s="207"/>
      <c r="B1391" s="208"/>
    </row>
    <row r="1392" spans="1:2" s="209" customFormat="1" ht="16.5" customHeight="1" x14ac:dyDescent="0.25">
      <c r="A1392" s="207"/>
      <c r="B1392" s="208"/>
    </row>
    <row r="1393" spans="1:2" s="209" customFormat="1" ht="16.5" customHeight="1" x14ac:dyDescent="0.25">
      <c r="A1393" s="207"/>
      <c r="B1393" s="208"/>
    </row>
    <row r="1394" spans="1:2" s="209" customFormat="1" ht="16.5" customHeight="1" x14ac:dyDescent="0.25">
      <c r="A1394" s="207"/>
      <c r="B1394" s="208"/>
    </row>
    <row r="1395" spans="1:2" s="209" customFormat="1" ht="16.5" customHeight="1" x14ac:dyDescent="0.25">
      <c r="A1395" s="207"/>
      <c r="B1395" s="208"/>
    </row>
    <row r="1396" spans="1:2" s="209" customFormat="1" ht="16.5" customHeight="1" x14ac:dyDescent="0.25">
      <c r="A1396" s="207"/>
      <c r="B1396" s="208"/>
    </row>
    <row r="1397" spans="1:2" s="209" customFormat="1" ht="16.5" customHeight="1" x14ac:dyDescent="0.25">
      <c r="A1397" s="207"/>
      <c r="B1397" s="208"/>
    </row>
    <row r="1398" spans="1:2" s="209" customFormat="1" ht="16.5" customHeight="1" x14ac:dyDescent="0.25">
      <c r="A1398" s="207"/>
      <c r="B1398" s="208"/>
    </row>
    <row r="1399" spans="1:2" s="209" customFormat="1" ht="16.5" customHeight="1" x14ac:dyDescent="0.25">
      <c r="A1399" s="207"/>
      <c r="B1399" s="208"/>
    </row>
    <row r="1400" spans="1:2" s="209" customFormat="1" ht="16.5" customHeight="1" x14ac:dyDescent="0.25">
      <c r="A1400" s="207"/>
      <c r="B1400" s="208"/>
    </row>
    <row r="1401" spans="1:2" s="209" customFormat="1" ht="16.5" customHeight="1" x14ac:dyDescent="0.25">
      <c r="A1401" s="207"/>
      <c r="B1401" s="208"/>
    </row>
    <row r="1402" spans="1:2" s="209" customFormat="1" ht="16.5" customHeight="1" x14ac:dyDescent="0.25">
      <c r="A1402" s="207"/>
      <c r="B1402" s="208"/>
    </row>
    <row r="1403" spans="1:2" s="209" customFormat="1" ht="16.5" customHeight="1" x14ac:dyDescent="0.25">
      <c r="A1403" s="207"/>
      <c r="B1403" s="208"/>
    </row>
    <row r="1404" spans="1:2" s="209" customFormat="1" ht="16.5" customHeight="1" x14ac:dyDescent="0.25">
      <c r="A1404" s="207"/>
      <c r="B1404" s="208"/>
    </row>
    <row r="1405" spans="1:2" s="209" customFormat="1" ht="16.5" customHeight="1" x14ac:dyDescent="0.25">
      <c r="A1405" s="207"/>
      <c r="B1405" s="208"/>
    </row>
    <row r="1406" spans="1:2" s="209" customFormat="1" ht="16.5" customHeight="1" x14ac:dyDescent="0.25">
      <c r="A1406" s="207"/>
      <c r="B1406" s="208"/>
    </row>
    <row r="1407" spans="1:2" s="209" customFormat="1" ht="16.5" customHeight="1" x14ac:dyDescent="0.25">
      <c r="A1407" s="207"/>
      <c r="B1407" s="208"/>
    </row>
    <row r="1408" spans="1:2" s="209" customFormat="1" ht="16.5" customHeight="1" x14ac:dyDescent="0.25">
      <c r="A1408" s="207"/>
      <c r="B1408" s="208"/>
    </row>
    <row r="1409" spans="1:2" s="209" customFormat="1" ht="16.5" customHeight="1" x14ac:dyDescent="0.25">
      <c r="A1409" s="207"/>
      <c r="B1409" s="208"/>
    </row>
    <row r="1410" spans="1:2" s="209" customFormat="1" ht="16.5" customHeight="1" x14ac:dyDescent="0.25">
      <c r="A1410" s="207"/>
      <c r="B1410" s="208"/>
    </row>
    <row r="1411" spans="1:2" s="209" customFormat="1" ht="16.5" customHeight="1" x14ac:dyDescent="0.25">
      <c r="A1411" s="207"/>
      <c r="B1411" s="208"/>
    </row>
    <row r="1412" spans="1:2" s="209" customFormat="1" ht="16.5" customHeight="1" x14ac:dyDescent="0.25">
      <c r="A1412" s="207"/>
      <c r="B1412" s="208"/>
    </row>
    <row r="1413" spans="1:2" s="209" customFormat="1" ht="16.5" customHeight="1" x14ac:dyDescent="0.25">
      <c r="A1413" s="207"/>
      <c r="B1413" s="208"/>
    </row>
    <row r="1414" spans="1:2" s="209" customFormat="1" ht="16.5" customHeight="1" x14ac:dyDescent="0.25">
      <c r="A1414" s="207"/>
      <c r="B1414" s="208"/>
    </row>
    <row r="1415" spans="1:2" s="209" customFormat="1" ht="16.5" customHeight="1" x14ac:dyDescent="0.25">
      <c r="A1415" s="207"/>
      <c r="B1415" s="208"/>
    </row>
    <row r="1416" spans="1:2" s="209" customFormat="1" ht="16.5" customHeight="1" x14ac:dyDescent="0.25">
      <c r="A1416" s="207"/>
      <c r="B1416" s="208"/>
    </row>
    <row r="1417" spans="1:2" s="209" customFormat="1" ht="16.5" customHeight="1" x14ac:dyDescent="0.25">
      <c r="A1417" s="207"/>
      <c r="B1417" s="208"/>
    </row>
    <row r="1418" spans="1:2" s="209" customFormat="1" ht="16.5" customHeight="1" x14ac:dyDescent="0.25">
      <c r="A1418" s="207"/>
      <c r="B1418" s="208"/>
    </row>
    <row r="1419" spans="1:2" s="209" customFormat="1" ht="16.5" customHeight="1" x14ac:dyDescent="0.25">
      <c r="A1419" s="207"/>
      <c r="B1419" s="208"/>
    </row>
    <row r="1420" spans="1:2" s="209" customFormat="1" ht="16.5" customHeight="1" x14ac:dyDescent="0.25">
      <c r="A1420" s="207"/>
      <c r="B1420" s="208"/>
    </row>
    <row r="1421" spans="1:2" s="209" customFormat="1" ht="16.5" customHeight="1" x14ac:dyDescent="0.25">
      <c r="A1421" s="207"/>
      <c r="B1421" s="208"/>
    </row>
    <row r="1422" spans="1:2" s="209" customFormat="1" ht="16.5" customHeight="1" x14ac:dyDescent="0.25">
      <c r="A1422" s="207"/>
      <c r="B1422" s="208"/>
    </row>
    <row r="1423" spans="1:2" s="209" customFormat="1" ht="16.5" customHeight="1" x14ac:dyDescent="0.25">
      <c r="A1423" s="207"/>
      <c r="B1423" s="208"/>
    </row>
    <row r="1424" spans="1:2" s="209" customFormat="1" ht="16.5" customHeight="1" x14ac:dyDescent="0.25">
      <c r="A1424" s="207"/>
      <c r="B1424" s="208"/>
    </row>
    <row r="1425" spans="1:2" s="209" customFormat="1" ht="16.5" customHeight="1" x14ac:dyDescent="0.25">
      <c r="A1425" s="207"/>
      <c r="B1425" s="208"/>
    </row>
    <row r="1426" spans="1:2" s="209" customFormat="1" ht="16.5" customHeight="1" x14ac:dyDescent="0.25">
      <c r="A1426" s="207"/>
      <c r="B1426" s="208"/>
    </row>
    <row r="1427" spans="1:2" s="209" customFormat="1" ht="16.5" customHeight="1" x14ac:dyDescent="0.25">
      <c r="A1427" s="207"/>
      <c r="B1427" s="208"/>
    </row>
    <row r="1428" spans="1:2" s="209" customFormat="1" ht="16.5" customHeight="1" x14ac:dyDescent="0.25">
      <c r="A1428" s="207"/>
      <c r="B1428" s="208"/>
    </row>
    <row r="1429" spans="1:2" s="209" customFormat="1" ht="16.5" customHeight="1" x14ac:dyDescent="0.25">
      <c r="A1429" s="207"/>
      <c r="B1429" s="208"/>
    </row>
    <row r="1430" spans="1:2" s="209" customFormat="1" ht="16.5" customHeight="1" x14ac:dyDescent="0.25">
      <c r="A1430" s="207"/>
      <c r="B1430" s="208"/>
    </row>
    <row r="1431" spans="1:2" s="209" customFormat="1" ht="16.5" customHeight="1" x14ac:dyDescent="0.25">
      <c r="A1431" s="207"/>
      <c r="B1431" s="208"/>
    </row>
    <row r="1432" spans="1:2" s="209" customFormat="1" ht="16.5" customHeight="1" x14ac:dyDescent="0.25">
      <c r="A1432" s="207"/>
      <c r="B1432" s="208"/>
    </row>
    <row r="1433" spans="1:2" s="209" customFormat="1" ht="16.5" customHeight="1" x14ac:dyDescent="0.25">
      <c r="A1433" s="207"/>
      <c r="B1433" s="208"/>
    </row>
    <row r="1434" spans="1:2" s="209" customFormat="1" ht="16.5" customHeight="1" x14ac:dyDescent="0.25">
      <c r="A1434" s="207"/>
      <c r="B1434" s="208"/>
    </row>
    <row r="1435" spans="1:2" s="209" customFormat="1" ht="16.5" customHeight="1" x14ac:dyDescent="0.25">
      <c r="A1435" s="207"/>
      <c r="B1435" s="208"/>
    </row>
    <row r="1436" spans="1:2" s="209" customFormat="1" ht="16.5" customHeight="1" x14ac:dyDescent="0.25">
      <c r="A1436" s="207"/>
      <c r="B1436" s="208"/>
    </row>
    <row r="1437" spans="1:2" s="209" customFormat="1" ht="16.5" customHeight="1" x14ac:dyDescent="0.25">
      <c r="A1437" s="207"/>
      <c r="B1437" s="208"/>
    </row>
    <row r="1438" spans="1:2" s="209" customFormat="1" ht="16.5" customHeight="1" x14ac:dyDescent="0.25">
      <c r="A1438" s="207"/>
      <c r="B1438" s="208"/>
    </row>
    <row r="1439" spans="1:2" s="209" customFormat="1" ht="16.5" customHeight="1" x14ac:dyDescent="0.25">
      <c r="A1439" s="207"/>
      <c r="B1439" s="208"/>
    </row>
    <row r="1440" spans="1:2" s="209" customFormat="1" ht="16.5" customHeight="1" x14ac:dyDescent="0.25">
      <c r="A1440" s="207"/>
      <c r="B1440" s="208"/>
    </row>
    <row r="1441" spans="1:2" s="209" customFormat="1" ht="16.5" customHeight="1" x14ac:dyDescent="0.25">
      <c r="A1441" s="207"/>
      <c r="B1441" s="208"/>
    </row>
    <row r="1442" spans="1:2" s="209" customFormat="1" ht="16.5" customHeight="1" x14ac:dyDescent="0.25">
      <c r="A1442" s="207"/>
      <c r="B1442" s="208"/>
    </row>
    <row r="1443" spans="1:2" s="209" customFormat="1" ht="16.5" customHeight="1" x14ac:dyDescent="0.25">
      <c r="A1443" s="207"/>
      <c r="B1443" s="208"/>
    </row>
    <row r="1444" spans="1:2" s="209" customFormat="1" ht="16.5" customHeight="1" x14ac:dyDescent="0.25">
      <c r="A1444" s="207"/>
      <c r="B1444" s="208"/>
    </row>
    <row r="1445" spans="1:2" s="209" customFormat="1" ht="16.5" customHeight="1" x14ac:dyDescent="0.25">
      <c r="A1445" s="207"/>
      <c r="B1445" s="208"/>
    </row>
    <row r="1446" spans="1:2" s="209" customFormat="1" ht="16.5" customHeight="1" x14ac:dyDescent="0.25">
      <c r="A1446" s="207"/>
      <c r="B1446" s="208"/>
    </row>
    <row r="1447" spans="1:2" s="209" customFormat="1" ht="16.5" customHeight="1" x14ac:dyDescent="0.25">
      <c r="A1447" s="207"/>
      <c r="B1447" s="208"/>
    </row>
    <row r="1448" spans="1:2" s="209" customFormat="1" ht="16.5" customHeight="1" x14ac:dyDescent="0.25">
      <c r="A1448" s="207"/>
      <c r="B1448" s="208"/>
    </row>
    <row r="1449" spans="1:2" s="209" customFormat="1" ht="16.5" customHeight="1" x14ac:dyDescent="0.25">
      <c r="A1449" s="207"/>
      <c r="B1449" s="208"/>
    </row>
    <row r="1450" spans="1:2" s="209" customFormat="1" ht="16.5" customHeight="1" x14ac:dyDescent="0.25">
      <c r="A1450" s="207"/>
      <c r="B1450" s="208"/>
    </row>
    <row r="1451" spans="1:2" s="209" customFormat="1" ht="16.5" customHeight="1" x14ac:dyDescent="0.25">
      <c r="A1451" s="207"/>
      <c r="B1451" s="208"/>
    </row>
    <row r="1452" spans="1:2" s="209" customFormat="1" ht="16.5" customHeight="1" x14ac:dyDescent="0.25">
      <c r="A1452" s="207"/>
      <c r="B1452" s="208"/>
    </row>
    <row r="1453" spans="1:2" s="209" customFormat="1" ht="16.5" customHeight="1" x14ac:dyDescent="0.25">
      <c r="A1453" s="207"/>
      <c r="B1453" s="208"/>
    </row>
    <row r="1454" spans="1:2" s="209" customFormat="1" ht="16.5" customHeight="1" x14ac:dyDescent="0.25">
      <c r="A1454" s="207"/>
      <c r="B1454" s="208"/>
    </row>
    <row r="1455" spans="1:2" s="209" customFormat="1" ht="16.5" customHeight="1" x14ac:dyDescent="0.25">
      <c r="A1455" s="207"/>
      <c r="B1455" s="208"/>
    </row>
    <row r="1456" spans="1:2" s="209" customFormat="1" ht="16.5" customHeight="1" x14ac:dyDescent="0.25">
      <c r="A1456" s="207"/>
      <c r="B1456" s="208"/>
    </row>
    <row r="1457" spans="1:2" s="209" customFormat="1" ht="16.5" customHeight="1" x14ac:dyDescent="0.25">
      <c r="A1457" s="207"/>
      <c r="B1457" s="208"/>
    </row>
    <row r="1458" spans="1:2" s="209" customFormat="1" ht="16.5" customHeight="1" x14ac:dyDescent="0.25">
      <c r="A1458" s="207"/>
      <c r="B1458" s="208"/>
    </row>
    <row r="1459" spans="1:2" s="209" customFormat="1" ht="16.5" customHeight="1" x14ac:dyDescent="0.25">
      <c r="A1459" s="207"/>
      <c r="B1459" s="208"/>
    </row>
    <row r="1460" spans="1:2" s="209" customFormat="1" ht="16.5" customHeight="1" x14ac:dyDescent="0.25">
      <c r="A1460" s="207"/>
      <c r="B1460" s="208"/>
    </row>
    <row r="1461" spans="1:2" s="209" customFormat="1" ht="16.5" customHeight="1" x14ac:dyDescent="0.25">
      <c r="A1461" s="207"/>
      <c r="B1461" s="208"/>
    </row>
    <row r="1462" spans="1:2" s="209" customFormat="1" ht="16.5" customHeight="1" x14ac:dyDescent="0.25">
      <c r="A1462" s="207"/>
      <c r="B1462" s="208"/>
    </row>
    <row r="1463" spans="1:2" s="209" customFormat="1" ht="16.5" customHeight="1" x14ac:dyDescent="0.25">
      <c r="A1463" s="207"/>
      <c r="B1463" s="208"/>
    </row>
    <row r="1464" spans="1:2" s="209" customFormat="1" ht="16.5" customHeight="1" x14ac:dyDescent="0.25">
      <c r="A1464" s="207"/>
      <c r="B1464" s="208"/>
    </row>
    <row r="1465" spans="1:2" s="209" customFormat="1" ht="16.5" customHeight="1" x14ac:dyDescent="0.25">
      <c r="A1465" s="207"/>
      <c r="B1465" s="208"/>
    </row>
    <row r="1466" spans="1:2" s="209" customFormat="1" ht="16.5" customHeight="1" x14ac:dyDescent="0.25">
      <c r="A1466" s="207"/>
      <c r="B1466" s="208"/>
    </row>
    <row r="1467" spans="1:2" s="209" customFormat="1" ht="16.5" customHeight="1" x14ac:dyDescent="0.25">
      <c r="A1467" s="207"/>
      <c r="B1467" s="208"/>
    </row>
    <row r="1468" spans="1:2" s="209" customFormat="1" ht="16.5" customHeight="1" x14ac:dyDescent="0.25">
      <c r="A1468" s="207"/>
      <c r="B1468" s="208"/>
    </row>
    <row r="1469" spans="1:2" s="209" customFormat="1" ht="16.5" customHeight="1" x14ac:dyDescent="0.25">
      <c r="A1469" s="207"/>
      <c r="B1469" s="208"/>
    </row>
    <row r="1470" spans="1:2" s="209" customFormat="1" ht="16.5" customHeight="1" x14ac:dyDescent="0.25">
      <c r="A1470" s="207"/>
      <c r="B1470" s="208"/>
    </row>
    <row r="1471" spans="1:2" s="209" customFormat="1" ht="16.5" customHeight="1" x14ac:dyDescent="0.25">
      <c r="A1471" s="207"/>
      <c r="B1471" s="208"/>
    </row>
    <row r="1472" spans="1:2" s="209" customFormat="1" ht="16.5" customHeight="1" x14ac:dyDescent="0.25">
      <c r="A1472" s="207"/>
      <c r="B1472" s="208"/>
    </row>
    <row r="1473" spans="1:2" s="209" customFormat="1" ht="16.5" customHeight="1" x14ac:dyDescent="0.25">
      <c r="A1473" s="207"/>
      <c r="B1473" s="208"/>
    </row>
    <row r="1474" spans="1:2" s="209" customFormat="1" ht="16.5" customHeight="1" x14ac:dyDescent="0.25">
      <c r="A1474" s="207"/>
      <c r="B1474" s="208"/>
    </row>
    <row r="1475" spans="1:2" s="209" customFormat="1" ht="16.5" customHeight="1" x14ac:dyDescent="0.25">
      <c r="A1475" s="207"/>
      <c r="B1475" s="208"/>
    </row>
    <row r="1476" spans="1:2" s="209" customFormat="1" ht="16.5" customHeight="1" x14ac:dyDescent="0.25">
      <c r="A1476" s="207"/>
      <c r="B1476" s="208"/>
    </row>
    <row r="1477" spans="1:2" s="209" customFormat="1" ht="16.5" customHeight="1" x14ac:dyDescent="0.25">
      <c r="A1477" s="207"/>
      <c r="B1477" s="208"/>
    </row>
    <row r="1478" spans="1:2" s="209" customFormat="1" ht="16.5" customHeight="1" x14ac:dyDescent="0.25">
      <c r="A1478" s="207"/>
      <c r="B1478" s="208"/>
    </row>
    <row r="1479" spans="1:2" s="209" customFormat="1" ht="16.5" customHeight="1" x14ac:dyDescent="0.25">
      <c r="A1479" s="207"/>
      <c r="B1479" s="208"/>
    </row>
    <row r="1480" spans="1:2" s="209" customFormat="1" ht="16.5" customHeight="1" x14ac:dyDescent="0.25">
      <c r="A1480" s="207"/>
      <c r="B1480" s="208"/>
    </row>
    <row r="1481" spans="1:2" s="209" customFormat="1" ht="16.5" customHeight="1" x14ac:dyDescent="0.25">
      <c r="A1481" s="207"/>
      <c r="B1481" s="208"/>
    </row>
    <row r="1482" spans="1:2" s="209" customFormat="1" ht="16.5" customHeight="1" x14ac:dyDescent="0.25">
      <c r="A1482" s="207"/>
      <c r="B1482" s="208"/>
    </row>
    <row r="1483" spans="1:2" s="209" customFormat="1" ht="16.5" customHeight="1" x14ac:dyDescent="0.25">
      <c r="A1483" s="207"/>
      <c r="B1483" s="208"/>
    </row>
    <row r="1484" spans="1:2" s="209" customFormat="1" ht="16.5" customHeight="1" x14ac:dyDescent="0.25">
      <c r="A1484" s="207"/>
      <c r="B1484" s="208"/>
    </row>
    <row r="1485" spans="1:2" s="209" customFormat="1" ht="16.5" customHeight="1" x14ac:dyDescent="0.25">
      <c r="A1485" s="207"/>
      <c r="B1485" s="208"/>
    </row>
    <row r="1486" spans="1:2" s="209" customFormat="1" ht="16.5" customHeight="1" x14ac:dyDescent="0.25">
      <c r="A1486" s="207"/>
      <c r="B1486" s="208"/>
    </row>
    <row r="1487" spans="1:2" s="209" customFormat="1" ht="16.5" customHeight="1" x14ac:dyDescent="0.25">
      <c r="A1487" s="207"/>
      <c r="B1487" s="208"/>
    </row>
    <row r="1488" spans="1:2" s="209" customFormat="1" ht="16.5" customHeight="1" x14ac:dyDescent="0.25">
      <c r="A1488" s="207"/>
      <c r="B1488" s="208"/>
    </row>
    <row r="1489" spans="1:2" s="209" customFormat="1" ht="16.5" customHeight="1" x14ac:dyDescent="0.25">
      <c r="A1489" s="207"/>
      <c r="B1489" s="208"/>
    </row>
    <row r="1490" spans="1:2" s="209" customFormat="1" ht="16.5" customHeight="1" x14ac:dyDescent="0.25">
      <c r="A1490" s="207"/>
      <c r="B1490" s="208"/>
    </row>
    <row r="1491" spans="1:2" s="209" customFormat="1" ht="16.5" customHeight="1" x14ac:dyDescent="0.25">
      <c r="A1491" s="207"/>
      <c r="B1491" s="208"/>
    </row>
    <row r="1492" spans="1:2" s="209" customFormat="1" ht="16.5" customHeight="1" x14ac:dyDescent="0.25">
      <c r="A1492" s="207"/>
      <c r="B1492" s="208"/>
    </row>
    <row r="1493" spans="1:2" s="209" customFormat="1" ht="16.5" customHeight="1" x14ac:dyDescent="0.25">
      <c r="A1493" s="207"/>
      <c r="B1493" s="208"/>
    </row>
    <row r="1494" spans="1:2" s="209" customFormat="1" ht="16.5" customHeight="1" x14ac:dyDescent="0.25">
      <c r="A1494" s="207"/>
      <c r="B1494" s="208"/>
    </row>
    <row r="1495" spans="1:2" s="209" customFormat="1" ht="16.5" customHeight="1" x14ac:dyDescent="0.25">
      <c r="A1495" s="207"/>
      <c r="B1495" s="208"/>
    </row>
    <row r="1496" spans="1:2" s="209" customFormat="1" ht="16.5" customHeight="1" x14ac:dyDescent="0.25">
      <c r="A1496" s="207"/>
      <c r="B1496" s="208"/>
    </row>
    <row r="1497" spans="1:2" s="209" customFormat="1" ht="16.5" customHeight="1" x14ac:dyDescent="0.25">
      <c r="A1497" s="207"/>
      <c r="B1497" s="208"/>
    </row>
    <row r="1498" spans="1:2" s="209" customFormat="1" ht="16.5" customHeight="1" x14ac:dyDescent="0.25">
      <c r="A1498" s="207"/>
      <c r="B1498" s="208"/>
    </row>
    <row r="1499" spans="1:2" s="209" customFormat="1" ht="16.5" customHeight="1" x14ac:dyDescent="0.25">
      <c r="A1499" s="207"/>
      <c r="B1499" s="208"/>
    </row>
    <row r="1500" spans="1:2" s="209" customFormat="1" ht="16.5" customHeight="1" x14ac:dyDescent="0.25">
      <c r="A1500" s="207"/>
      <c r="B1500" s="208"/>
    </row>
    <row r="1501" spans="1:2" s="209" customFormat="1" ht="16.5" customHeight="1" x14ac:dyDescent="0.25">
      <c r="A1501" s="207"/>
      <c r="B1501" s="208"/>
    </row>
    <row r="1502" spans="1:2" s="209" customFormat="1" ht="16.5" customHeight="1" x14ac:dyDescent="0.25">
      <c r="A1502" s="207"/>
      <c r="B1502" s="208"/>
    </row>
    <row r="1503" spans="1:2" s="209" customFormat="1" ht="16.5" customHeight="1" x14ac:dyDescent="0.25">
      <c r="A1503" s="207"/>
      <c r="B1503" s="208"/>
    </row>
    <row r="1504" spans="1:2" s="209" customFormat="1" ht="16.5" customHeight="1" x14ac:dyDescent="0.25">
      <c r="A1504" s="207"/>
      <c r="B1504" s="208"/>
    </row>
    <row r="1505" spans="1:2" s="209" customFormat="1" ht="16.5" customHeight="1" x14ac:dyDescent="0.25">
      <c r="A1505" s="207"/>
      <c r="B1505" s="208"/>
    </row>
    <row r="1506" spans="1:2" s="209" customFormat="1" ht="16.5" customHeight="1" x14ac:dyDescent="0.25">
      <c r="A1506" s="207"/>
      <c r="B1506" s="208"/>
    </row>
    <row r="1507" spans="1:2" s="209" customFormat="1" ht="16.5" customHeight="1" x14ac:dyDescent="0.25">
      <c r="A1507" s="207"/>
      <c r="B1507" s="208"/>
    </row>
    <row r="1508" spans="1:2" s="209" customFormat="1" ht="16.5" customHeight="1" x14ac:dyDescent="0.25">
      <c r="A1508" s="207"/>
      <c r="B1508" s="208"/>
    </row>
    <row r="1509" spans="1:2" s="209" customFormat="1" ht="16.5" customHeight="1" x14ac:dyDescent="0.25">
      <c r="A1509" s="207"/>
      <c r="B1509" s="208"/>
    </row>
    <row r="1510" spans="1:2" s="209" customFormat="1" ht="16.5" customHeight="1" x14ac:dyDescent="0.25">
      <c r="A1510" s="207"/>
      <c r="B1510" s="208"/>
    </row>
    <row r="1511" spans="1:2" s="209" customFormat="1" ht="16.5" customHeight="1" x14ac:dyDescent="0.25">
      <c r="A1511" s="207"/>
      <c r="B1511" s="208"/>
    </row>
    <row r="1512" spans="1:2" s="209" customFormat="1" ht="16.5" customHeight="1" x14ac:dyDescent="0.25">
      <c r="A1512" s="207"/>
      <c r="B1512" s="208"/>
    </row>
    <row r="1513" spans="1:2" s="209" customFormat="1" ht="16.5" customHeight="1" x14ac:dyDescent="0.25">
      <c r="A1513" s="207"/>
      <c r="B1513" s="208"/>
    </row>
    <row r="1514" spans="1:2" s="209" customFormat="1" ht="16.5" customHeight="1" x14ac:dyDescent="0.25">
      <c r="A1514" s="207"/>
      <c r="B1514" s="208"/>
    </row>
    <row r="1515" spans="1:2" s="209" customFormat="1" ht="16.5" customHeight="1" x14ac:dyDescent="0.25">
      <c r="A1515" s="207"/>
      <c r="B1515" s="208"/>
    </row>
    <row r="1516" spans="1:2" s="209" customFormat="1" ht="16.5" customHeight="1" x14ac:dyDescent="0.25">
      <c r="A1516" s="207"/>
      <c r="B1516" s="208"/>
    </row>
    <row r="1517" spans="1:2" s="209" customFormat="1" ht="16.5" customHeight="1" x14ac:dyDescent="0.25">
      <c r="A1517" s="207"/>
      <c r="B1517" s="208"/>
    </row>
    <row r="1518" spans="1:2" s="209" customFormat="1" ht="16.5" customHeight="1" x14ac:dyDescent="0.25">
      <c r="A1518" s="207"/>
      <c r="B1518" s="208"/>
    </row>
    <row r="1519" spans="1:2" s="209" customFormat="1" ht="16.5" customHeight="1" x14ac:dyDescent="0.25">
      <c r="A1519" s="207"/>
      <c r="B1519" s="208"/>
    </row>
    <row r="1520" spans="1:2" s="209" customFormat="1" ht="16.5" customHeight="1" x14ac:dyDescent="0.25">
      <c r="A1520" s="207"/>
      <c r="B1520" s="208"/>
    </row>
    <row r="1521" spans="1:2" s="209" customFormat="1" ht="16.5" customHeight="1" x14ac:dyDescent="0.25">
      <c r="A1521" s="207"/>
      <c r="B1521" s="208"/>
    </row>
    <row r="1522" spans="1:2" s="209" customFormat="1" ht="16.5" customHeight="1" x14ac:dyDescent="0.25">
      <c r="A1522" s="207"/>
      <c r="B1522" s="208"/>
    </row>
    <row r="1523" spans="1:2" s="209" customFormat="1" ht="16.5" customHeight="1" x14ac:dyDescent="0.25">
      <c r="A1523" s="207"/>
      <c r="B1523" s="208"/>
    </row>
    <row r="1524" spans="1:2" s="209" customFormat="1" ht="16.5" customHeight="1" x14ac:dyDescent="0.25">
      <c r="A1524" s="207"/>
      <c r="B1524" s="208"/>
    </row>
    <row r="1525" spans="1:2" s="209" customFormat="1" ht="16.5" customHeight="1" x14ac:dyDescent="0.25">
      <c r="A1525" s="207"/>
      <c r="B1525" s="208"/>
    </row>
    <row r="1526" spans="1:2" s="209" customFormat="1" ht="16.5" customHeight="1" x14ac:dyDescent="0.25">
      <c r="A1526" s="207"/>
      <c r="B1526" s="208"/>
    </row>
    <row r="1527" spans="1:2" s="209" customFormat="1" ht="16.5" customHeight="1" x14ac:dyDescent="0.25">
      <c r="A1527" s="207"/>
      <c r="B1527" s="208"/>
    </row>
    <row r="1528" spans="1:2" s="209" customFormat="1" ht="16.5" customHeight="1" x14ac:dyDescent="0.25">
      <c r="A1528" s="207"/>
      <c r="B1528" s="208"/>
    </row>
    <row r="1529" spans="1:2" s="209" customFormat="1" ht="16.5" customHeight="1" x14ac:dyDescent="0.25">
      <c r="A1529" s="207"/>
      <c r="B1529" s="208"/>
    </row>
    <row r="1530" spans="1:2" s="209" customFormat="1" ht="16.5" customHeight="1" x14ac:dyDescent="0.25">
      <c r="A1530" s="207"/>
      <c r="B1530" s="208"/>
    </row>
    <row r="1531" spans="1:2" s="209" customFormat="1" ht="16.5" customHeight="1" x14ac:dyDescent="0.25">
      <c r="A1531" s="207"/>
      <c r="B1531" s="208"/>
    </row>
    <row r="1532" spans="1:2" s="209" customFormat="1" ht="16.5" customHeight="1" x14ac:dyDescent="0.25">
      <c r="A1532" s="207"/>
      <c r="B1532" s="208"/>
    </row>
    <row r="1533" spans="1:2" s="209" customFormat="1" ht="16.5" customHeight="1" x14ac:dyDescent="0.25">
      <c r="A1533" s="207"/>
      <c r="B1533" s="208"/>
    </row>
    <row r="1534" spans="1:2" s="209" customFormat="1" ht="16.5" customHeight="1" x14ac:dyDescent="0.25">
      <c r="A1534" s="207"/>
      <c r="B1534" s="208"/>
    </row>
    <row r="1535" spans="1:2" s="209" customFormat="1" ht="16.5" customHeight="1" x14ac:dyDescent="0.25">
      <c r="A1535" s="207"/>
      <c r="B1535" s="208"/>
    </row>
    <row r="1536" spans="1:2" s="209" customFormat="1" ht="16.5" customHeight="1" x14ac:dyDescent="0.25">
      <c r="A1536" s="207"/>
      <c r="B1536" s="208"/>
    </row>
    <row r="1537" spans="1:2" s="209" customFormat="1" ht="16.5" customHeight="1" x14ac:dyDescent="0.25">
      <c r="A1537" s="207"/>
      <c r="B1537" s="208"/>
    </row>
    <row r="1538" spans="1:2" s="209" customFormat="1" ht="16.5" customHeight="1" x14ac:dyDescent="0.25">
      <c r="A1538" s="207"/>
      <c r="B1538" s="208"/>
    </row>
    <row r="1539" spans="1:2" s="209" customFormat="1" ht="16.5" customHeight="1" x14ac:dyDescent="0.25">
      <c r="A1539" s="207"/>
      <c r="B1539" s="208"/>
    </row>
    <row r="1540" spans="1:2" s="209" customFormat="1" ht="16.5" customHeight="1" x14ac:dyDescent="0.25">
      <c r="A1540" s="207"/>
      <c r="B1540" s="208"/>
    </row>
    <row r="1541" spans="1:2" s="209" customFormat="1" ht="16.5" customHeight="1" x14ac:dyDescent="0.25">
      <c r="A1541" s="207"/>
      <c r="B1541" s="208"/>
    </row>
    <row r="1542" spans="1:2" s="209" customFormat="1" ht="16.5" customHeight="1" x14ac:dyDescent="0.25">
      <c r="A1542" s="207"/>
      <c r="B1542" s="208"/>
    </row>
    <row r="1543" spans="1:2" s="209" customFormat="1" ht="16.5" customHeight="1" x14ac:dyDescent="0.25">
      <c r="A1543" s="207"/>
      <c r="B1543" s="208"/>
    </row>
    <row r="1544" spans="1:2" s="209" customFormat="1" ht="16.5" customHeight="1" x14ac:dyDescent="0.25">
      <c r="A1544" s="207"/>
      <c r="B1544" s="208"/>
    </row>
    <row r="1545" spans="1:2" s="209" customFormat="1" ht="16.5" customHeight="1" x14ac:dyDescent="0.25">
      <c r="A1545" s="207"/>
      <c r="B1545" s="208"/>
    </row>
    <row r="1546" spans="1:2" s="209" customFormat="1" ht="16.5" customHeight="1" x14ac:dyDescent="0.25">
      <c r="A1546" s="207"/>
      <c r="B1546" s="208"/>
    </row>
    <row r="1547" spans="1:2" s="209" customFormat="1" ht="16.5" customHeight="1" x14ac:dyDescent="0.25">
      <c r="A1547" s="207"/>
      <c r="B1547" s="208"/>
    </row>
    <row r="1548" spans="1:2" s="209" customFormat="1" ht="16.5" customHeight="1" x14ac:dyDescent="0.25">
      <c r="A1548" s="207"/>
      <c r="B1548" s="208"/>
    </row>
    <row r="1549" spans="1:2" s="209" customFormat="1" ht="16.5" customHeight="1" x14ac:dyDescent="0.25">
      <c r="A1549" s="207"/>
      <c r="B1549" s="208"/>
    </row>
    <row r="1550" spans="1:2" s="209" customFormat="1" ht="16.5" customHeight="1" x14ac:dyDescent="0.25">
      <c r="A1550" s="207"/>
      <c r="B1550" s="208"/>
    </row>
    <row r="1551" spans="1:2" s="209" customFormat="1" ht="16.5" customHeight="1" x14ac:dyDescent="0.25">
      <c r="A1551" s="207"/>
      <c r="B1551" s="208"/>
    </row>
    <row r="1552" spans="1:2" s="209" customFormat="1" ht="16.5" customHeight="1" x14ac:dyDescent="0.25">
      <c r="A1552" s="207"/>
      <c r="B1552" s="208"/>
    </row>
    <row r="1553" spans="1:2" s="209" customFormat="1" ht="16.5" customHeight="1" x14ac:dyDescent="0.25">
      <c r="A1553" s="207"/>
      <c r="B1553" s="208"/>
    </row>
    <row r="1554" spans="1:2" s="209" customFormat="1" ht="16.5" customHeight="1" x14ac:dyDescent="0.25">
      <c r="A1554" s="207"/>
      <c r="B1554" s="208"/>
    </row>
    <row r="1555" spans="1:2" s="209" customFormat="1" ht="16.5" customHeight="1" x14ac:dyDescent="0.25">
      <c r="A1555" s="207"/>
      <c r="B1555" s="208"/>
    </row>
    <row r="1556" spans="1:2" s="209" customFormat="1" ht="16.5" customHeight="1" x14ac:dyDescent="0.25">
      <c r="A1556" s="207"/>
      <c r="B1556" s="208"/>
    </row>
    <row r="1557" spans="1:2" s="209" customFormat="1" ht="16.5" customHeight="1" x14ac:dyDescent="0.25">
      <c r="A1557" s="207"/>
      <c r="B1557" s="208"/>
    </row>
    <row r="1558" spans="1:2" s="209" customFormat="1" ht="16.5" customHeight="1" x14ac:dyDescent="0.25">
      <c r="A1558" s="207"/>
      <c r="B1558" s="208"/>
    </row>
    <row r="1559" spans="1:2" s="209" customFormat="1" ht="16.5" customHeight="1" x14ac:dyDescent="0.25">
      <c r="A1559" s="207"/>
      <c r="B1559" s="208"/>
    </row>
    <row r="1560" spans="1:2" s="209" customFormat="1" ht="16.5" customHeight="1" x14ac:dyDescent="0.25">
      <c r="A1560" s="207"/>
      <c r="B1560" s="208"/>
    </row>
    <row r="1561" spans="1:2" s="209" customFormat="1" ht="16.5" customHeight="1" x14ac:dyDescent="0.25">
      <c r="A1561" s="207"/>
      <c r="B1561" s="208"/>
    </row>
    <row r="1562" spans="1:2" s="209" customFormat="1" ht="16.5" customHeight="1" x14ac:dyDescent="0.25">
      <c r="A1562" s="207"/>
      <c r="B1562" s="208"/>
    </row>
    <row r="1563" spans="1:2" s="209" customFormat="1" ht="16.5" customHeight="1" x14ac:dyDescent="0.25">
      <c r="A1563" s="207"/>
      <c r="B1563" s="208"/>
    </row>
    <row r="1564" spans="1:2" s="209" customFormat="1" ht="16.5" customHeight="1" x14ac:dyDescent="0.25">
      <c r="A1564" s="207"/>
      <c r="B1564" s="208"/>
    </row>
    <row r="1565" spans="1:2" s="209" customFormat="1" ht="16.5" customHeight="1" x14ac:dyDescent="0.25">
      <c r="A1565" s="207"/>
      <c r="B1565" s="208"/>
    </row>
    <row r="1566" spans="1:2" s="209" customFormat="1" ht="16.5" customHeight="1" x14ac:dyDescent="0.25">
      <c r="A1566" s="207"/>
      <c r="B1566" s="208"/>
    </row>
    <row r="1567" spans="1:2" s="209" customFormat="1" ht="16.5" customHeight="1" x14ac:dyDescent="0.25">
      <c r="A1567" s="207"/>
      <c r="B1567" s="208"/>
    </row>
    <row r="1568" spans="1:2" s="209" customFormat="1" ht="16.5" customHeight="1" x14ac:dyDescent="0.25">
      <c r="A1568" s="207"/>
      <c r="B1568" s="208"/>
    </row>
    <row r="1569" spans="1:2" s="209" customFormat="1" ht="16.5" customHeight="1" x14ac:dyDescent="0.25">
      <c r="A1569" s="207"/>
      <c r="B1569" s="208"/>
    </row>
    <row r="1570" spans="1:2" s="209" customFormat="1" ht="16.5" customHeight="1" x14ac:dyDescent="0.25">
      <c r="A1570" s="207"/>
      <c r="B1570" s="208"/>
    </row>
    <row r="1571" spans="1:2" s="209" customFormat="1" ht="16.5" customHeight="1" x14ac:dyDescent="0.25">
      <c r="A1571" s="207"/>
      <c r="B1571" s="208"/>
    </row>
    <row r="1572" spans="1:2" s="209" customFormat="1" ht="16.5" customHeight="1" x14ac:dyDescent="0.25">
      <c r="A1572" s="207"/>
      <c r="B1572" s="208"/>
    </row>
    <row r="1573" spans="1:2" s="209" customFormat="1" ht="16.5" customHeight="1" x14ac:dyDescent="0.25">
      <c r="A1573" s="207"/>
      <c r="B1573" s="208"/>
    </row>
    <row r="1574" spans="1:2" s="209" customFormat="1" ht="16.5" customHeight="1" x14ac:dyDescent="0.25">
      <c r="A1574" s="207"/>
      <c r="B1574" s="208"/>
    </row>
    <row r="1575" spans="1:2" s="209" customFormat="1" ht="16.5" customHeight="1" x14ac:dyDescent="0.25">
      <c r="A1575" s="207"/>
      <c r="B1575" s="208"/>
    </row>
    <row r="1576" spans="1:2" s="209" customFormat="1" ht="16.5" customHeight="1" x14ac:dyDescent="0.25">
      <c r="A1576" s="207"/>
      <c r="B1576" s="208"/>
    </row>
    <row r="1577" spans="1:2" s="209" customFormat="1" ht="16.5" customHeight="1" x14ac:dyDescent="0.25">
      <c r="A1577" s="207"/>
      <c r="B1577" s="208"/>
    </row>
    <row r="1578" spans="1:2" s="209" customFormat="1" ht="16.5" customHeight="1" x14ac:dyDescent="0.25">
      <c r="A1578" s="207"/>
      <c r="B1578" s="208"/>
    </row>
    <row r="1579" spans="1:2" s="209" customFormat="1" ht="16.5" customHeight="1" x14ac:dyDescent="0.25">
      <c r="A1579" s="207"/>
      <c r="B1579" s="208"/>
    </row>
    <row r="1580" spans="1:2" s="209" customFormat="1" ht="16.5" customHeight="1" x14ac:dyDescent="0.25">
      <c r="A1580" s="207"/>
      <c r="B1580" s="208"/>
    </row>
    <row r="1581" spans="1:2" s="209" customFormat="1" ht="16.5" customHeight="1" x14ac:dyDescent="0.25">
      <c r="A1581" s="207"/>
      <c r="B1581" s="208"/>
    </row>
    <row r="1582" spans="1:2" s="209" customFormat="1" ht="16.5" customHeight="1" x14ac:dyDescent="0.25">
      <c r="A1582" s="207"/>
      <c r="B1582" s="208"/>
    </row>
    <row r="1583" spans="1:2" s="209" customFormat="1" ht="16.5" customHeight="1" x14ac:dyDescent="0.25">
      <c r="A1583" s="207"/>
      <c r="B1583" s="208"/>
    </row>
    <row r="1584" spans="1:2" s="209" customFormat="1" ht="16.5" customHeight="1" x14ac:dyDescent="0.25">
      <c r="A1584" s="207"/>
      <c r="B1584" s="208"/>
    </row>
    <row r="1585" spans="1:2" s="209" customFormat="1" ht="16.5" customHeight="1" x14ac:dyDescent="0.25">
      <c r="A1585" s="207"/>
      <c r="B1585" s="208"/>
    </row>
    <row r="1586" spans="1:2" s="209" customFormat="1" ht="16.5" customHeight="1" x14ac:dyDescent="0.25">
      <c r="A1586" s="207"/>
      <c r="B1586" s="208"/>
    </row>
    <row r="1587" spans="1:2" s="209" customFormat="1" ht="16.5" customHeight="1" x14ac:dyDescent="0.25">
      <c r="A1587" s="207"/>
      <c r="B1587" s="208"/>
    </row>
    <row r="1588" spans="1:2" s="209" customFormat="1" ht="16.5" customHeight="1" x14ac:dyDescent="0.25">
      <c r="A1588" s="207"/>
      <c r="B1588" s="208"/>
    </row>
    <row r="1589" spans="1:2" s="209" customFormat="1" ht="16.5" customHeight="1" x14ac:dyDescent="0.25">
      <c r="A1589" s="207"/>
      <c r="B1589" s="208"/>
    </row>
    <row r="1590" spans="1:2" s="209" customFormat="1" ht="16.5" customHeight="1" x14ac:dyDescent="0.25">
      <c r="A1590" s="207"/>
      <c r="B1590" s="208"/>
    </row>
    <row r="1591" spans="1:2" s="209" customFormat="1" ht="16.5" customHeight="1" x14ac:dyDescent="0.25">
      <c r="A1591" s="207"/>
      <c r="B1591" s="208"/>
    </row>
    <row r="1592" spans="1:2" s="209" customFormat="1" ht="16.5" customHeight="1" x14ac:dyDescent="0.25">
      <c r="A1592" s="207"/>
      <c r="B1592" s="208"/>
    </row>
    <row r="1593" spans="1:2" s="209" customFormat="1" ht="16.5" customHeight="1" x14ac:dyDescent="0.25">
      <c r="A1593" s="207"/>
      <c r="B1593" s="208"/>
    </row>
    <row r="1594" spans="1:2" s="209" customFormat="1" ht="16.5" customHeight="1" x14ac:dyDescent="0.25">
      <c r="A1594" s="207"/>
      <c r="B1594" s="208"/>
    </row>
    <row r="1595" spans="1:2" s="209" customFormat="1" ht="16.5" customHeight="1" x14ac:dyDescent="0.25">
      <c r="A1595" s="207"/>
      <c r="B1595" s="208"/>
    </row>
    <row r="1596" spans="1:2" s="209" customFormat="1" ht="16.5" customHeight="1" x14ac:dyDescent="0.25">
      <c r="A1596" s="207"/>
      <c r="B1596" s="208"/>
    </row>
    <row r="1597" spans="1:2" s="209" customFormat="1" ht="16.5" customHeight="1" x14ac:dyDescent="0.25">
      <c r="A1597" s="207"/>
      <c r="B1597" s="208"/>
    </row>
    <row r="1598" spans="1:2" s="209" customFormat="1" ht="16.5" customHeight="1" x14ac:dyDescent="0.25">
      <c r="A1598" s="207"/>
      <c r="B1598" s="208"/>
    </row>
    <row r="1599" spans="1:2" s="209" customFormat="1" ht="16.5" customHeight="1" x14ac:dyDescent="0.25">
      <c r="A1599" s="207"/>
      <c r="B1599" s="208"/>
    </row>
    <row r="1600" spans="1:2" s="209" customFormat="1" ht="16.5" customHeight="1" x14ac:dyDescent="0.25">
      <c r="A1600" s="207"/>
      <c r="B1600" s="208"/>
    </row>
    <row r="1601" spans="1:2" s="209" customFormat="1" ht="16.5" customHeight="1" x14ac:dyDescent="0.25">
      <c r="A1601" s="207"/>
      <c r="B1601" s="208"/>
    </row>
    <row r="1602" spans="1:2" s="209" customFormat="1" ht="16.5" customHeight="1" x14ac:dyDescent="0.25">
      <c r="A1602" s="207"/>
      <c r="B1602" s="208"/>
    </row>
    <row r="1603" spans="1:2" s="209" customFormat="1" ht="16.5" customHeight="1" x14ac:dyDescent="0.25">
      <c r="A1603" s="207"/>
      <c r="B1603" s="208"/>
    </row>
    <row r="1604" spans="1:2" s="209" customFormat="1" ht="16.5" customHeight="1" x14ac:dyDescent="0.25">
      <c r="A1604" s="207"/>
      <c r="B1604" s="208"/>
    </row>
    <row r="1605" spans="1:2" s="209" customFormat="1" ht="16.5" customHeight="1" x14ac:dyDescent="0.25">
      <c r="A1605" s="207"/>
      <c r="B1605" s="208"/>
    </row>
    <row r="1606" spans="1:2" s="209" customFormat="1" ht="16.5" customHeight="1" x14ac:dyDescent="0.25">
      <c r="A1606" s="207"/>
      <c r="B1606" s="208"/>
    </row>
    <row r="1607" spans="1:2" s="209" customFormat="1" ht="16.5" customHeight="1" x14ac:dyDescent="0.25">
      <c r="A1607" s="207"/>
      <c r="B1607" s="208"/>
    </row>
    <row r="1608" spans="1:2" s="209" customFormat="1" ht="16.5" customHeight="1" x14ac:dyDescent="0.25">
      <c r="A1608" s="207"/>
      <c r="B1608" s="208"/>
    </row>
    <row r="1609" spans="1:2" s="209" customFormat="1" ht="16.5" customHeight="1" x14ac:dyDescent="0.25">
      <c r="A1609" s="207"/>
      <c r="B1609" s="208"/>
    </row>
    <row r="1610" spans="1:2" s="209" customFormat="1" ht="16.5" customHeight="1" x14ac:dyDescent="0.25">
      <c r="A1610" s="207"/>
      <c r="B1610" s="208"/>
    </row>
    <row r="1611" spans="1:2" s="209" customFormat="1" ht="16.5" customHeight="1" x14ac:dyDescent="0.25">
      <c r="A1611" s="207"/>
      <c r="B1611" s="208"/>
    </row>
    <row r="1612" spans="1:2" s="209" customFormat="1" ht="16.5" customHeight="1" x14ac:dyDescent="0.25">
      <c r="A1612" s="207"/>
      <c r="B1612" s="208"/>
    </row>
    <row r="1613" spans="1:2" s="209" customFormat="1" ht="16.5" customHeight="1" x14ac:dyDescent="0.25">
      <c r="A1613" s="207"/>
      <c r="B1613" s="208"/>
    </row>
    <row r="1614" spans="1:2" s="209" customFormat="1" ht="16.5" customHeight="1" x14ac:dyDescent="0.25">
      <c r="A1614" s="207"/>
      <c r="B1614" s="208"/>
    </row>
    <row r="1615" spans="1:2" s="209" customFormat="1" ht="16.5" customHeight="1" x14ac:dyDescent="0.25">
      <c r="A1615" s="207"/>
      <c r="B1615" s="208"/>
    </row>
    <row r="1616" spans="1:2" s="209" customFormat="1" ht="16.5" customHeight="1" x14ac:dyDescent="0.25">
      <c r="A1616" s="207"/>
      <c r="B1616" s="208"/>
    </row>
    <row r="1617" spans="1:2" s="209" customFormat="1" ht="16.5" customHeight="1" x14ac:dyDescent="0.25">
      <c r="A1617" s="207"/>
      <c r="B1617" s="208"/>
    </row>
    <row r="1618" spans="1:2" s="209" customFormat="1" ht="16.5" customHeight="1" x14ac:dyDescent="0.25">
      <c r="A1618" s="207"/>
      <c r="B1618" s="208"/>
    </row>
    <row r="1619" spans="1:2" s="209" customFormat="1" ht="16.5" customHeight="1" x14ac:dyDescent="0.25">
      <c r="A1619" s="207"/>
      <c r="B1619" s="208"/>
    </row>
    <row r="1620" spans="1:2" s="209" customFormat="1" ht="16.5" customHeight="1" x14ac:dyDescent="0.25">
      <c r="A1620" s="207"/>
      <c r="B1620" s="208"/>
    </row>
    <row r="1621" spans="1:2" s="209" customFormat="1" ht="16.5" customHeight="1" x14ac:dyDescent="0.25">
      <c r="A1621" s="207"/>
      <c r="B1621" s="208"/>
    </row>
    <row r="1622" spans="1:2" s="209" customFormat="1" ht="16.5" customHeight="1" x14ac:dyDescent="0.25">
      <c r="A1622" s="207"/>
      <c r="B1622" s="208"/>
    </row>
    <row r="1623" spans="1:2" s="209" customFormat="1" ht="16.5" customHeight="1" x14ac:dyDescent="0.25">
      <c r="A1623" s="207"/>
      <c r="B1623" s="208"/>
    </row>
    <row r="1624" spans="1:2" s="209" customFormat="1" ht="16.5" customHeight="1" x14ac:dyDescent="0.25">
      <c r="A1624" s="207"/>
      <c r="B1624" s="208"/>
    </row>
    <row r="1625" spans="1:2" s="209" customFormat="1" ht="16.5" customHeight="1" x14ac:dyDescent="0.25">
      <c r="A1625" s="207"/>
      <c r="B1625" s="208"/>
    </row>
    <row r="1626" spans="1:2" s="209" customFormat="1" ht="16.5" customHeight="1" x14ac:dyDescent="0.25">
      <c r="A1626" s="207"/>
      <c r="B1626" s="208"/>
    </row>
    <row r="1627" spans="1:2" s="209" customFormat="1" ht="16.5" customHeight="1" x14ac:dyDescent="0.25">
      <c r="A1627" s="207"/>
      <c r="B1627" s="208"/>
    </row>
    <row r="1628" spans="1:2" s="209" customFormat="1" ht="16.5" customHeight="1" x14ac:dyDescent="0.25">
      <c r="A1628" s="207"/>
      <c r="B1628" s="208"/>
    </row>
    <row r="1629" spans="1:2" s="209" customFormat="1" ht="16.5" customHeight="1" x14ac:dyDescent="0.25">
      <c r="A1629" s="207"/>
      <c r="B1629" s="208"/>
    </row>
    <row r="1630" spans="1:2" s="209" customFormat="1" ht="16.5" customHeight="1" x14ac:dyDescent="0.25">
      <c r="A1630" s="207"/>
      <c r="B1630" s="208"/>
    </row>
    <row r="1631" spans="1:2" s="209" customFormat="1" ht="16.5" customHeight="1" x14ac:dyDescent="0.25">
      <c r="A1631" s="207"/>
      <c r="B1631" s="208"/>
    </row>
    <row r="1632" spans="1:2" s="209" customFormat="1" ht="16.5" customHeight="1" x14ac:dyDescent="0.25">
      <c r="A1632" s="207"/>
      <c r="B1632" s="208"/>
    </row>
    <row r="1633" spans="1:2" s="209" customFormat="1" ht="16.5" customHeight="1" x14ac:dyDescent="0.25">
      <c r="A1633" s="207"/>
      <c r="B1633" s="208"/>
    </row>
    <row r="1634" spans="1:2" s="209" customFormat="1" ht="16.5" customHeight="1" x14ac:dyDescent="0.25">
      <c r="A1634" s="207"/>
      <c r="B1634" s="208"/>
    </row>
    <row r="1635" spans="1:2" s="209" customFormat="1" ht="16.5" customHeight="1" x14ac:dyDescent="0.25">
      <c r="A1635" s="207"/>
      <c r="B1635" s="208"/>
    </row>
    <row r="1636" spans="1:2" s="209" customFormat="1" ht="16.5" customHeight="1" x14ac:dyDescent="0.25">
      <c r="A1636" s="207"/>
      <c r="B1636" s="208"/>
    </row>
    <row r="1637" spans="1:2" s="209" customFormat="1" ht="16.5" customHeight="1" x14ac:dyDescent="0.25">
      <c r="A1637" s="207"/>
      <c r="B1637" s="208"/>
    </row>
    <row r="1638" spans="1:2" s="209" customFormat="1" ht="16.5" customHeight="1" x14ac:dyDescent="0.25">
      <c r="A1638" s="207"/>
      <c r="B1638" s="208"/>
    </row>
    <row r="1639" spans="1:2" s="209" customFormat="1" ht="16.5" customHeight="1" x14ac:dyDescent="0.25">
      <c r="A1639" s="207"/>
      <c r="B1639" s="208"/>
    </row>
    <row r="1640" spans="1:2" s="209" customFormat="1" ht="16.5" customHeight="1" x14ac:dyDescent="0.25">
      <c r="A1640" s="207"/>
      <c r="B1640" s="208"/>
    </row>
    <row r="1641" spans="1:2" s="209" customFormat="1" ht="16.5" customHeight="1" x14ac:dyDescent="0.25">
      <c r="A1641" s="207"/>
      <c r="B1641" s="208"/>
    </row>
    <row r="1642" spans="1:2" s="209" customFormat="1" ht="16.5" customHeight="1" x14ac:dyDescent="0.25">
      <c r="A1642" s="207"/>
      <c r="B1642" s="208"/>
    </row>
    <row r="1643" spans="1:2" s="209" customFormat="1" ht="16.5" customHeight="1" x14ac:dyDescent="0.25">
      <c r="A1643" s="207"/>
      <c r="B1643" s="208"/>
    </row>
    <row r="1644" spans="1:2" s="209" customFormat="1" ht="16.5" customHeight="1" x14ac:dyDescent="0.25">
      <c r="A1644" s="207"/>
      <c r="B1644" s="208"/>
    </row>
    <row r="1645" spans="1:2" s="209" customFormat="1" ht="16.5" customHeight="1" x14ac:dyDescent="0.25">
      <c r="A1645" s="207"/>
      <c r="B1645" s="208"/>
    </row>
    <row r="1646" spans="1:2" s="209" customFormat="1" ht="16.5" customHeight="1" x14ac:dyDescent="0.25">
      <c r="A1646" s="207"/>
      <c r="B1646" s="208"/>
    </row>
    <row r="1647" spans="1:2" s="209" customFormat="1" ht="16.5" customHeight="1" x14ac:dyDescent="0.25">
      <c r="A1647" s="207"/>
      <c r="B1647" s="208"/>
    </row>
    <row r="1648" spans="1:2" s="209" customFormat="1" ht="16.5" customHeight="1" x14ac:dyDescent="0.25">
      <c r="A1648" s="207"/>
      <c r="B1648" s="208"/>
    </row>
    <row r="1649" spans="1:2" s="209" customFormat="1" ht="16.5" customHeight="1" x14ac:dyDescent="0.25">
      <c r="A1649" s="207"/>
      <c r="B1649" s="208"/>
    </row>
    <row r="1650" spans="1:2" s="209" customFormat="1" ht="16.5" customHeight="1" x14ac:dyDescent="0.25">
      <c r="A1650" s="207"/>
      <c r="B1650" s="208"/>
    </row>
    <row r="1651" spans="1:2" s="209" customFormat="1" ht="16.5" customHeight="1" x14ac:dyDescent="0.25">
      <c r="A1651" s="207"/>
      <c r="B1651" s="208"/>
    </row>
    <row r="1652" spans="1:2" s="209" customFormat="1" ht="16.5" customHeight="1" x14ac:dyDescent="0.25">
      <c r="A1652" s="207"/>
      <c r="B1652" s="208"/>
    </row>
    <row r="1653" spans="1:2" s="209" customFormat="1" ht="16.5" customHeight="1" x14ac:dyDescent="0.25">
      <c r="A1653" s="207"/>
      <c r="B1653" s="208"/>
    </row>
    <row r="1654" spans="1:2" s="209" customFormat="1" ht="16.5" customHeight="1" x14ac:dyDescent="0.25">
      <c r="A1654" s="207"/>
      <c r="B1654" s="208"/>
    </row>
    <row r="1655" spans="1:2" s="209" customFormat="1" ht="16.5" customHeight="1" x14ac:dyDescent="0.25">
      <c r="A1655" s="207"/>
      <c r="B1655" s="208"/>
    </row>
    <row r="1656" spans="1:2" s="209" customFormat="1" ht="16.5" customHeight="1" x14ac:dyDescent="0.25">
      <c r="A1656" s="207"/>
      <c r="B1656" s="208"/>
    </row>
    <row r="1657" spans="1:2" s="209" customFormat="1" ht="16.5" customHeight="1" x14ac:dyDescent="0.25">
      <c r="A1657" s="207"/>
      <c r="B1657" s="208"/>
    </row>
    <row r="1658" spans="1:2" s="209" customFormat="1" ht="16.5" customHeight="1" x14ac:dyDescent="0.25">
      <c r="A1658" s="207"/>
      <c r="B1658" s="208"/>
    </row>
    <row r="1659" spans="1:2" s="209" customFormat="1" ht="16.5" customHeight="1" x14ac:dyDescent="0.25">
      <c r="A1659" s="207"/>
      <c r="B1659" s="208"/>
    </row>
    <row r="1660" spans="1:2" s="209" customFormat="1" ht="16.5" customHeight="1" x14ac:dyDescent="0.25">
      <c r="A1660" s="207"/>
      <c r="B1660" s="208"/>
    </row>
    <row r="1661" spans="1:2" s="209" customFormat="1" ht="16.5" customHeight="1" x14ac:dyDescent="0.25">
      <c r="A1661" s="207"/>
      <c r="B1661" s="208"/>
    </row>
    <row r="1662" spans="1:2" s="209" customFormat="1" ht="16.5" customHeight="1" x14ac:dyDescent="0.25">
      <c r="A1662" s="207"/>
      <c r="B1662" s="208"/>
    </row>
    <row r="1663" spans="1:2" s="209" customFormat="1" ht="16.5" customHeight="1" x14ac:dyDescent="0.25">
      <c r="A1663" s="207"/>
      <c r="B1663" s="208"/>
    </row>
    <row r="1664" spans="1:2" s="209" customFormat="1" ht="16.5" customHeight="1" x14ac:dyDescent="0.25">
      <c r="A1664" s="207"/>
      <c r="B1664" s="208"/>
    </row>
    <row r="1665" spans="1:2" s="209" customFormat="1" ht="16.5" customHeight="1" x14ac:dyDescent="0.25">
      <c r="A1665" s="207"/>
      <c r="B1665" s="208"/>
    </row>
    <row r="1666" spans="1:2" s="209" customFormat="1" ht="16.5" customHeight="1" x14ac:dyDescent="0.25">
      <c r="A1666" s="207"/>
      <c r="B1666" s="208"/>
    </row>
    <row r="1667" spans="1:2" s="209" customFormat="1" ht="16.5" customHeight="1" x14ac:dyDescent="0.25">
      <c r="A1667" s="207"/>
      <c r="B1667" s="208"/>
    </row>
    <row r="1668" spans="1:2" s="209" customFormat="1" ht="16.5" customHeight="1" x14ac:dyDescent="0.25">
      <c r="A1668" s="207"/>
      <c r="B1668" s="208"/>
    </row>
    <row r="1669" spans="1:2" s="209" customFormat="1" ht="16.5" customHeight="1" x14ac:dyDescent="0.25">
      <c r="A1669" s="207"/>
      <c r="B1669" s="208"/>
    </row>
    <row r="1670" spans="1:2" s="209" customFormat="1" ht="16.5" customHeight="1" x14ac:dyDescent="0.25">
      <c r="A1670" s="207"/>
      <c r="B1670" s="208"/>
    </row>
    <row r="1671" spans="1:2" s="209" customFormat="1" ht="16.5" customHeight="1" x14ac:dyDescent="0.25">
      <c r="A1671" s="207"/>
      <c r="B1671" s="208"/>
    </row>
    <row r="1672" spans="1:2" s="209" customFormat="1" ht="16.5" customHeight="1" x14ac:dyDescent="0.25">
      <c r="A1672" s="207"/>
      <c r="B1672" s="208"/>
    </row>
    <row r="1673" spans="1:2" s="209" customFormat="1" ht="16.5" customHeight="1" x14ac:dyDescent="0.25">
      <c r="A1673" s="207"/>
      <c r="B1673" s="208"/>
    </row>
    <row r="1674" spans="1:2" s="209" customFormat="1" ht="16.5" customHeight="1" x14ac:dyDescent="0.25">
      <c r="A1674" s="207"/>
      <c r="B1674" s="208"/>
    </row>
    <row r="1675" spans="1:2" s="209" customFormat="1" ht="16.5" customHeight="1" x14ac:dyDescent="0.25">
      <c r="A1675" s="207"/>
      <c r="B1675" s="208"/>
    </row>
    <row r="1676" spans="1:2" s="209" customFormat="1" ht="16.5" customHeight="1" x14ac:dyDescent="0.25">
      <c r="A1676" s="207"/>
      <c r="B1676" s="208"/>
    </row>
    <row r="1677" spans="1:2" s="209" customFormat="1" ht="16.5" customHeight="1" x14ac:dyDescent="0.25">
      <c r="A1677" s="207"/>
      <c r="B1677" s="208"/>
    </row>
    <row r="1678" spans="1:2" s="209" customFormat="1" ht="16.5" customHeight="1" x14ac:dyDescent="0.25">
      <c r="A1678" s="207"/>
      <c r="B1678" s="208"/>
    </row>
    <row r="1679" spans="1:2" s="209" customFormat="1" ht="16.5" customHeight="1" x14ac:dyDescent="0.25">
      <c r="A1679" s="207"/>
      <c r="B1679" s="208"/>
    </row>
    <row r="1680" spans="1:2" s="209" customFormat="1" ht="16.5" customHeight="1" x14ac:dyDescent="0.25">
      <c r="A1680" s="207"/>
      <c r="B1680" s="208"/>
    </row>
    <row r="1681" spans="1:2" s="209" customFormat="1" ht="16.5" customHeight="1" x14ac:dyDescent="0.25">
      <c r="A1681" s="207"/>
      <c r="B1681" s="208"/>
    </row>
    <row r="1682" spans="1:2" s="209" customFormat="1" ht="16.5" customHeight="1" x14ac:dyDescent="0.25">
      <c r="A1682" s="207"/>
      <c r="B1682" s="208"/>
    </row>
    <row r="1683" spans="1:2" s="209" customFormat="1" ht="16.5" customHeight="1" x14ac:dyDescent="0.25">
      <c r="A1683" s="207"/>
      <c r="B1683" s="208"/>
    </row>
    <row r="1684" spans="1:2" s="209" customFormat="1" ht="16.5" customHeight="1" x14ac:dyDescent="0.25">
      <c r="A1684" s="207"/>
      <c r="B1684" s="208"/>
    </row>
    <row r="1685" spans="1:2" s="209" customFormat="1" ht="16.5" customHeight="1" x14ac:dyDescent="0.25">
      <c r="A1685" s="207"/>
      <c r="B1685" s="208"/>
    </row>
    <row r="1686" spans="1:2" s="209" customFormat="1" ht="16.5" customHeight="1" x14ac:dyDescent="0.25">
      <c r="A1686" s="207"/>
      <c r="B1686" s="208"/>
    </row>
    <row r="1687" spans="1:2" s="209" customFormat="1" ht="16.5" customHeight="1" x14ac:dyDescent="0.25">
      <c r="A1687" s="207"/>
      <c r="B1687" s="208"/>
    </row>
    <row r="1688" spans="1:2" s="209" customFormat="1" ht="16.5" customHeight="1" x14ac:dyDescent="0.25">
      <c r="A1688" s="207"/>
      <c r="B1688" s="208"/>
    </row>
    <row r="1689" spans="1:2" s="209" customFormat="1" ht="16.5" customHeight="1" x14ac:dyDescent="0.25">
      <c r="A1689" s="207"/>
      <c r="B1689" s="208"/>
    </row>
    <row r="1690" spans="1:2" s="209" customFormat="1" ht="16.5" customHeight="1" x14ac:dyDescent="0.25">
      <c r="A1690" s="207"/>
      <c r="B1690" s="208"/>
    </row>
    <row r="1691" spans="1:2" s="209" customFormat="1" ht="16.5" customHeight="1" x14ac:dyDescent="0.25">
      <c r="A1691" s="207"/>
      <c r="B1691" s="208"/>
    </row>
    <row r="1692" spans="1:2" s="209" customFormat="1" ht="16.5" customHeight="1" x14ac:dyDescent="0.25">
      <c r="A1692" s="207"/>
      <c r="B1692" s="208"/>
    </row>
    <row r="1693" spans="1:2" s="209" customFormat="1" ht="16.5" customHeight="1" x14ac:dyDescent="0.25">
      <c r="A1693" s="207"/>
      <c r="B1693" s="208"/>
    </row>
    <row r="1694" spans="1:2" s="209" customFormat="1" ht="16.5" customHeight="1" x14ac:dyDescent="0.25">
      <c r="A1694" s="207"/>
      <c r="B1694" s="208"/>
    </row>
    <row r="1695" spans="1:2" s="209" customFormat="1" ht="16.5" customHeight="1" x14ac:dyDescent="0.25">
      <c r="A1695" s="207"/>
      <c r="B1695" s="208"/>
    </row>
    <row r="1696" spans="1:2" s="209" customFormat="1" ht="16.5" customHeight="1" x14ac:dyDescent="0.25">
      <c r="A1696" s="207"/>
      <c r="B1696" s="208"/>
    </row>
    <row r="1697" spans="1:2" s="209" customFormat="1" ht="16.5" customHeight="1" x14ac:dyDescent="0.25">
      <c r="A1697" s="207"/>
      <c r="B1697" s="208"/>
    </row>
    <row r="1698" spans="1:2" s="209" customFormat="1" ht="16.5" customHeight="1" x14ac:dyDescent="0.25">
      <c r="A1698" s="207"/>
      <c r="B1698" s="208"/>
    </row>
    <row r="1699" spans="1:2" s="209" customFormat="1" ht="16.5" customHeight="1" x14ac:dyDescent="0.25">
      <c r="A1699" s="207"/>
      <c r="B1699" s="208"/>
    </row>
    <row r="1700" spans="1:2" s="209" customFormat="1" ht="16.5" customHeight="1" x14ac:dyDescent="0.25">
      <c r="A1700" s="207"/>
      <c r="B1700" s="208"/>
    </row>
    <row r="1701" spans="1:2" s="209" customFormat="1" ht="16.5" customHeight="1" x14ac:dyDescent="0.25">
      <c r="A1701" s="207"/>
      <c r="B1701" s="208"/>
    </row>
    <row r="1702" spans="1:2" s="209" customFormat="1" ht="16.5" customHeight="1" x14ac:dyDescent="0.25">
      <c r="A1702" s="207"/>
      <c r="B1702" s="208"/>
    </row>
    <row r="1703" spans="1:2" s="209" customFormat="1" ht="16.5" customHeight="1" x14ac:dyDescent="0.25">
      <c r="A1703" s="207"/>
      <c r="B1703" s="208"/>
    </row>
    <row r="1704" spans="1:2" s="209" customFormat="1" ht="16.5" customHeight="1" x14ac:dyDescent="0.25">
      <c r="A1704" s="207"/>
      <c r="B1704" s="208"/>
    </row>
    <row r="1705" spans="1:2" s="209" customFormat="1" ht="16.5" customHeight="1" x14ac:dyDescent="0.25">
      <c r="A1705" s="207"/>
      <c r="B1705" s="208"/>
    </row>
    <row r="1706" spans="1:2" s="209" customFormat="1" ht="16.5" customHeight="1" x14ac:dyDescent="0.25">
      <c r="A1706" s="207"/>
      <c r="B1706" s="208"/>
    </row>
    <row r="1707" spans="1:2" s="209" customFormat="1" ht="16.5" customHeight="1" x14ac:dyDescent="0.25">
      <c r="A1707" s="207"/>
      <c r="B1707" s="208"/>
    </row>
    <row r="1708" spans="1:2" s="209" customFormat="1" ht="16.5" customHeight="1" x14ac:dyDescent="0.25">
      <c r="A1708" s="207"/>
      <c r="B1708" s="208"/>
    </row>
    <row r="1709" spans="1:2" s="209" customFormat="1" ht="16.5" customHeight="1" x14ac:dyDescent="0.25">
      <c r="A1709" s="207"/>
      <c r="B1709" s="208"/>
    </row>
    <row r="1710" spans="1:2" s="209" customFormat="1" ht="16.5" customHeight="1" x14ac:dyDescent="0.25">
      <c r="A1710" s="207"/>
      <c r="B1710" s="208"/>
    </row>
    <row r="1711" spans="1:2" s="209" customFormat="1" ht="16.5" customHeight="1" x14ac:dyDescent="0.25">
      <c r="A1711" s="207"/>
      <c r="B1711" s="208"/>
    </row>
    <row r="1712" spans="1:2" s="209" customFormat="1" ht="16.5" customHeight="1" x14ac:dyDescent="0.25">
      <c r="A1712" s="207"/>
      <c r="B1712" s="208"/>
    </row>
    <row r="1713" spans="1:2" s="209" customFormat="1" ht="16.5" customHeight="1" x14ac:dyDescent="0.25">
      <c r="A1713" s="207"/>
      <c r="B1713" s="208"/>
    </row>
    <row r="1714" spans="1:2" s="209" customFormat="1" ht="16.5" customHeight="1" x14ac:dyDescent="0.25">
      <c r="A1714" s="207"/>
      <c r="B1714" s="208"/>
    </row>
    <row r="1715" spans="1:2" s="209" customFormat="1" ht="16.5" customHeight="1" x14ac:dyDescent="0.25">
      <c r="A1715" s="207"/>
      <c r="B1715" s="208"/>
    </row>
    <row r="1716" spans="1:2" s="209" customFormat="1" ht="16.5" customHeight="1" x14ac:dyDescent="0.25">
      <c r="A1716" s="207"/>
      <c r="B1716" s="208"/>
    </row>
    <row r="1717" spans="1:2" s="209" customFormat="1" ht="16.5" customHeight="1" x14ac:dyDescent="0.25">
      <c r="A1717" s="207"/>
      <c r="B1717" s="208"/>
    </row>
    <row r="1718" spans="1:2" s="209" customFormat="1" ht="16.5" customHeight="1" x14ac:dyDescent="0.25">
      <c r="A1718" s="207"/>
      <c r="B1718" s="208"/>
    </row>
    <row r="1719" spans="1:2" s="209" customFormat="1" ht="16.5" customHeight="1" x14ac:dyDescent="0.25">
      <c r="A1719" s="207"/>
      <c r="B1719" s="208"/>
    </row>
    <row r="1720" spans="1:2" s="209" customFormat="1" ht="16.5" customHeight="1" x14ac:dyDescent="0.25">
      <c r="A1720" s="207"/>
      <c r="B1720" s="208"/>
    </row>
    <row r="1721" spans="1:2" s="209" customFormat="1" ht="16.5" customHeight="1" x14ac:dyDescent="0.25">
      <c r="A1721" s="207"/>
      <c r="B1721" s="208"/>
    </row>
    <row r="1722" spans="1:2" s="209" customFormat="1" ht="16.5" customHeight="1" x14ac:dyDescent="0.25">
      <c r="A1722" s="207"/>
      <c r="B1722" s="208"/>
    </row>
    <row r="1723" spans="1:2" s="209" customFormat="1" ht="16.5" customHeight="1" x14ac:dyDescent="0.25">
      <c r="A1723" s="207"/>
      <c r="B1723" s="208"/>
    </row>
    <row r="1724" spans="1:2" s="209" customFormat="1" ht="16.5" customHeight="1" x14ac:dyDescent="0.25">
      <c r="A1724" s="207"/>
      <c r="B1724" s="208"/>
    </row>
    <row r="1725" spans="1:2" s="209" customFormat="1" ht="16.5" customHeight="1" x14ac:dyDescent="0.25">
      <c r="A1725" s="207"/>
      <c r="B1725" s="208"/>
    </row>
    <row r="1726" spans="1:2" s="209" customFormat="1" ht="16.5" customHeight="1" x14ac:dyDescent="0.25">
      <c r="A1726" s="207"/>
      <c r="B1726" s="208"/>
    </row>
    <row r="1727" spans="1:2" s="209" customFormat="1" ht="16.5" customHeight="1" x14ac:dyDescent="0.25">
      <c r="A1727" s="207"/>
      <c r="B1727" s="208"/>
    </row>
    <row r="1728" spans="1:2" s="209" customFormat="1" ht="16.5" customHeight="1" x14ac:dyDescent="0.25">
      <c r="A1728" s="207"/>
      <c r="B1728" s="208"/>
    </row>
    <row r="1729" spans="1:2" s="209" customFormat="1" ht="16.5" customHeight="1" x14ac:dyDescent="0.25">
      <c r="A1729" s="207"/>
      <c r="B1729" s="208"/>
    </row>
    <row r="1730" spans="1:2" s="209" customFormat="1" ht="16.5" customHeight="1" x14ac:dyDescent="0.25">
      <c r="A1730" s="207"/>
      <c r="B1730" s="208"/>
    </row>
    <row r="1731" spans="1:2" s="209" customFormat="1" ht="16.5" customHeight="1" x14ac:dyDescent="0.25">
      <c r="A1731" s="207"/>
      <c r="B1731" s="208"/>
    </row>
    <row r="1732" spans="1:2" s="209" customFormat="1" ht="16.5" customHeight="1" x14ac:dyDescent="0.25">
      <c r="A1732" s="207"/>
      <c r="B1732" s="208"/>
    </row>
    <row r="1733" spans="1:2" s="209" customFormat="1" ht="16.5" customHeight="1" x14ac:dyDescent="0.25">
      <c r="A1733" s="207"/>
      <c r="B1733" s="208"/>
    </row>
    <row r="1734" spans="1:2" s="209" customFormat="1" ht="16.5" customHeight="1" x14ac:dyDescent="0.25">
      <c r="A1734" s="207"/>
      <c r="B1734" s="208"/>
    </row>
    <row r="1735" spans="1:2" s="209" customFormat="1" ht="16.5" customHeight="1" x14ac:dyDescent="0.25">
      <c r="A1735" s="207"/>
      <c r="B1735" s="208"/>
    </row>
    <row r="1736" spans="1:2" s="209" customFormat="1" ht="16.5" customHeight="1" x14ac:dyDescent="0.25">
      <c r="A1736" s="207"/>
      <c r="B1736" s="208"/>
    </row>
    <row r="1737" spans="1:2" s="209" customFormat="1" ht="16.5" customHeight="1" x14ac:dyDescent="0.25">
      <c r="A1737" s="207"/>
      <c r="B1737" s="208"/>
    </row>
    <row r="1738" spans="1:2" s="209" customFormat="1" ht="16.5" customHeight="1" x14ac:dyDescent="0.25">
      <c r="A1738" s="207"/>
      <c r="B1738" s="208"/>
    </row>
    <row r="1739" spans="1:2" s="209" customFormat="1" ht="16.5" customHeight="1" x14ac:dyDescent="0.25">
      <c r="A1739" s="207"/>
      <c r="B1739" s="208"/>
    </row>
    <row r="1740" spans="1:2" s="209" customFormat="1" ht="16.5" customHeight="1" x14ac:dyDescent="0.25">
      <c r="A1740" s="207"/>
      <c r="B1740" s="208"/>
    </row>
    <row r="1741" spans="1:2" s="209" customFormat="1" ht="16.5" customHeight="1" x14ac:dyDescent="0.25">
      <c r="A1741" s="207"/>
      <c r="B1741" s="208"/>
    </row>
    <row r="1742" spans="1:2" s="209" customFormat="1" ht="16.5" customHeight="1" x14ac:dyDescent="0.25">
      <c r="A1742" s="207"/>
      <c r="B1742" s="208"/>
    </row>
    <row r="1743" spans="1:2" s="209" customFormat="1" ht="16.5" customHeight="1" x14ac:dyDescent="0.25">
      <c r="A1743" s="207"/>
      <c r="B1743" s="208"/>
    </row>
    <row r="1744" spans="1:2" s="209" customFormat="1" ht="16.5" customHeight="1" x14ac:dyDescent="0.25">
      <c r="A1744" s="207"/>
      <c r="B1744" s="208"/>
    </row>
    <row r="1745" spans="1:2" s="209" customFormat="1" ht="16.5" customHeight="1" x14ac:dyDescent="0.25">
      <c r="A1745" s="207"/>
      <c r="B1745" s="208"/>
    </row>
    <row r="1746" spans="1:2" s="209" customFormat="1" ht="16.5" customHeight="1" x14ac:dyDescent="0.25">
      <c r="A1746" s="207"/>
      <c r="B1746" s="208"/>
    </row>
    <row r="1747" spans="1:2" s="209" customFormat="1" ht="16.5" customHeight="1" x14ac:dyDescent="0.25">
      <c r="A1747" s="207"/>
      <c r="B1747" s="208"/>
    </row>
    <row r="1748" spans="1:2" s="209" customFormat="1" ht="16.5" customHeight="1" x14ac:dyDescent="0.25">
      <c r="A1748" s="207"/>
      <c r="B1748" s="208"/>
    </row>
    <row r="1749" spans="1:2" s="209" customFormat="1" ht="16.5" customHeight="1" x14ac:dyDescent="0.25">
      <c r="A1749" s="207"/>
      <c r="B1749" s="208"/>
    </row>
    <row r="1750" spans="1:2" s="209" customFormat="1" ht="16.5" customHeight="1" x14ac:dyDescent="0.25">
      <c r="A1750" s="207"/>
      <c r="B1750" s="208"/>
    </row>
    <row r="1751" spans="1:2" s="209" customFormat="1" ht="16.5" customHeight="1" x14ac:dyDescent="0.25">
      <c r="A1751" s="207"/>
      <c r="B1751" s="208"/>
    </row>
    <row r="1752" spans="1:2" s="209" customFormat="1" ht="16.5" customHeight="1" x14ac:dyDescent="0.25">
      <c r="A1752" s="207"/>
      <c r="B1752" s="208"/>
    </row>
    <row r="1753" spans="1:2" s="209" customFormat="1" ht="16.5" customHeight="1" x14ac:dyDescent="0.25">
      <c r="A1753" s="207"/>
      <c r="B1753" s="208"/>
    </row>
    <row r="1754" spans="1:2" s="209" customFormat="1" ht="16.5" customHeight="1" x14ac:dyDescent="0.25">
      <c r="A1754" s="207"/>
      <c r="B1754" s="208"/>
    </row>
    <row r="1755" spans="1:2" s="209" customFormat="1" ht="16.5" customHeight="1" x14ac:dyDescent="0.25">
      <c r="A1755" s="207"/>
      <c r="B1755" s="208"/>
    </row>
    <row r="1756" spans="1:2" s="209" customFormat="1" ht="16.5" customHeight="1" x14ac:dyDescent="0.25">
      <c r="A1756" s="207"/>
      <c r="B1756" s="208"/>
    </row>
    <row r="1757" spans="1:2" s="209" customFormat="1" ht="16.5" customHeight="1" x14ac:dyDescent="0.25">
      <c r="A1757" s="207"/>
      <c r="B1757" s="208"/>
    </row>
    <row r="1758" spans="1:2" s="209" customFormat="1" ht="16.5" customHeight="1" x14ac:dyDescent="0.25">
      <c r="A1758" s="207"/>
      <c r="B1758" s="208"/>
    </row>
    <row r="1759" spans="1:2" s="209" customFormat="1" ht="16.5" customHeight="1" x14ac:dyDescent="0.25">
      <c r="A1759" s="207"/>
      <c r="B1759" s="208"/>
    </row>
    <row r="1760" spans="1:2" s="209" customFormat="1" ht="16.5" customHeight="1" x14ac:dyDescent="0.25">
      <c r="A1760" s="207"/>
      <c r="B1760" s="208"/>
    </row>
    <row r="1761" spans="1:2" s="209" customFormat="1" ht="16.5" customHeight="1" x14ac:dyDescent="0.25">
      <c r="A1761" s="207"/>
      <c r="B1761" s="208"/>
    </row>
    <row r="1762" spans="1:2" s="209" customFormat="1" ht="16.5" customHeight="1" x14ac:dyDescent="0.25">
      <c r="A1762" s="207"/>
      <c r="B1762" s="208"/>
    </row>
    <row r="1763" spans="1:2" s="209" customFormat="1" ht="16.5" customHeight="1" x14ac:dyDescent="0.25">
      <c r="A1763" s="207"/>
      <c r="B1763" s="208"/>
    </row>
    <row r="1764" spans="1:2" s="209" customFormat="1" ht="16.5" customHeight="1" x14ac:dyDescent="0.25">
      <c r="A1764" s="207"/>
      <c r="B1764" s="208"/>
    </row>
    <row r="1765" spans="1:2" s="209" customFormat="1" ht="16.5" customHeight="1" x14ac:dyDescent="0.25">
      <c r="A1765" s="207"/>
      <c r="B1765" s="208"/>
    </row>
    <row r="1766" spans="1:2" s="209" customFormat="1" ht="16.5" customHeight="1" x14ac:dyDescent="0.25">
      <c r="A1766" s="207"/>
      <c r="B1766" s="208"/>
    </row>
    <row r="1767" spans="1:2" s="209" customFormat="1" ht="16.5" customHeight="1" x14ac:dyDescent="0.25">
      <c r="A1767" s="207"/>
      <c r="B1767" s="208"/>
    </row>
    <row r="1768" spans="1:2" s="209" customFormat="1" ht="16.5" customHeight="1" x14ac:dyDescent="0.25">
      <c r="A1768" s="207"/>
      <c r="B1768" s="208"/>
    </row>
    <row r="1769" spans="1:2" s="209" customFormat="1" ht="16.5" customHeight="1" x14ac:dyDescent="0.25">
      <c r="A1769" s="207"/>
      <c r="B1769" s="208"/>
    </row>
    <row r="1770" spans="1:2" s="209" customFormat="1" ht="16.5" customHeight="1" x14ac:dyDescent="0.25">
      <c r="A1770" s="207"/>
      <c r="B1770" s="208"/>
    </row>
    <row r="1771" spans="1:2" s="209" customFormat="1" ht="16.5" customHeight="1" x14ac:dyDescent="0.25">
      <c r="A1771" s="207"/>
      <c r="B1771" s="208"/>
    </row>
    <row r="1772" spans="1:2" s="209" customFormat="1" ht="16.5" customHeight="1" x14ac:dyDescent="0.25">
      <c r="A1772" s="207"/>
      <c r="B1772" s="208"/>
    </row>
    <row r="1773" spans="1:2" s="209" customFormat="1" ht="16.5" customHeight="1" x14ac:dyDescent="0.25">
      <c r="A1773" s="207"/>
      <c r="B1773" s="208"/>
    </row>
    <row r="1774" spans="1:2" s="209" customFormat="1" ht="16.5" customHeight="1" x14ac:dyDescent="0.25">
      <c r="A1774" s="207"/>
      <c r="B1774" s="208"/>
    </row>
    <row r="1775" spans="1:2" s="209" customFormat="1" ht="16.5" customHeight="1" x14ac:dyDescent="0.25">
      <c r="A1775" s="207"/>
      <c r="B1775" s="208"/>
    </row>
    <row r="1776" spans="1:2" s="209" customFormat="1" ht="16.5" customHeight="1" x14ac:dyDescent="0.25">
      <c r="A1776" s="207"/>
      <c r="B1776" s="208"/>
    </row>
    <row r="1777" spans="1:2" s="209" customFormat="1" ht="16.5" customHeight="1" x14ac:dyDescent="0.25">
      <c r="A1777" s="207"/>
      <c r="B1777" s="208"/>
    </row>
    <row r="1778" spans="1:2" s="209" customFormat="1" ht="16.5" customHeight="1" x14ac:dyDescent="0.25">
      <c r="A1778" s="207"/>
      <c r="B1778" s="208"/>
    </row>
    <row r="1779" spans="1:2" s="209" customFormat="1" ht="16.5" customHeight="1" x14ac:dyDescent="0.25">
      <c r="A1779" s="207"/>
      <c r="B1779" s="208"/>
    </row>
    <row r="1780" spans="1:2" s="209" customFormat="1" ht="16.5" customHeight="1" x14ac:dyDescent="0.25">
      <c r="A1780" s="207"/>
      <c r="B1780" s="208"/>
    </row>
    <row r="1781" spans="1:2" s="209" customFormat="1" ht="16.5" customHeight="1" x14ac:dyDescent="0.25">
      <c r="A1781" s="207"/>
      <c r="B1781" s="208"/>
    </row>
    <row r="1782" spans="1:2" s="209" customFormat="1" ht="16.5" customHeight="1" x14ac:dyDescent="0.25">
      <c r="A1782" s="207"/>
      <c r="B1782" s="208"/>
    </row>
    <row r="1783" spans="1:2" s="209" customFormat="1" ht="16.5" customHeight="1" x14ac:dyDescent="0.25">
      <c r="A1783" s="207"/>
      <c r="B1783" s="208"/>
    </row>
    <row r="1784" spans="1:2" s="209" customFormat="1" ht="16.5" customHeight="1" x14ac:dyDescent="0.25">
      <c r="A1784" s="207"/>
      <c r="B1784" s="208"/>
    </row>
    <row r="1785" spans="1:2" s="209" customFormat="1" ht="16.5" customHeight="1" x14ac:dyDescent="0.25">
      <c r="A1785" s="207"/>
      <c r="B1785" s="208"/>
    </row>
    <row r="1786" spans="1:2" s="209" customFormat="1" ht="16.5" customHeight="1" x14ac:dyDescent="0.25">
      <c r="A1786" s="207"/>
      <c r="B1786" s="208"/>
    </row>
    <row r="1787" spans="1:2" s="209" customFormat="1" ht="16.5" customHeight="1" x14ac:dyDescent="0.25">
      <c r="A1787" s="207"/>
      <c r="B1787" s="208"/>
    </row>
    <row r="1788" spans="1:2" s="209" customFormat="1" ht="16.5" customHeight="1" x14ac:dyDescent="0.25">
      <c r="A1788" s="207"/>
      <c r="B1788" s="208"/>
    </row>
    <row r="1789" spans="1:2" s="209" customFormat="1" ht="16.5" customHeight="1" x14ac:dyDescent="0.25">
      <c r="A1789" s="207"/>
      <c r="B1789" s="208"/>
    </row>
    <row r="1790" spans="1:2" s="209" customFormat="1" ht="16.5" customHeight="1" x14ac:dyDescent="0.25">
      <c r="A1790" s="207"/>
      <c r="B1790" s="208"/>
    </row>
    <row r="1791" spans="1:2" s="209" customFormat="1" ht="16.5" customHeight="1" x14ac:dyDescent="0.25">
      <c r="A1791" s="207"/>
      <c r="B1791" s="208"/>
    </row>
    <row r="1792" spans="1:2" s="209" customFormat="1" ht="16.5" customHeight="1" x14ac:dyDescent="0.25">
      <c r="A1792" s="207"/>
      <c r="B1792" s="208"/>
    </row>
    <row r="1793" spans="1:2" s="209" customFormat="1" ht="16.5" customHeight="1" x14ac:dyDescent="0.25">
      <c r="A1793" s="207"/>
      <c r="B1793" s="208"/>
    </row>
    <row r="1794" spans="1:2" s="209" customFormat="1" ht="16.5" customHeight="1" x14ac:dyDescent="0.25">
      <c r="A1794" s="207"/>
      <c r="B1794" s="208"/>
    </row>
    <row r="1795" spans="1:2" s="209" customFormat="1" ht="16.5" customHeight="1" x14ac:dyDescent="0.25">
      <c r="A1795" s="207"/>
      <c r="B1795" s="208"/>
    </row>
    <row r="1796" spans="1:2" s="209" customFormat="1" ht="16.5" customHeight="1" x14ac:dyDescent="0.25">
      <c r="A1796" s="207"/>
      <c r="B1796" s="208"/>
    </row>
    <row r="1797" spans="1:2" s="209" customFormat="1" ht="16.5" customHeight="1" x14ac:dyDescent="0.25">
      <c r="A1797" s="207"/>
      <c r="B1797" s="208"/>
    </row>
    <row r="1798" spans="1:2" s="209" customFormat="1" ht="16.5" customHeight="1" x14ac:dyDescent="0.25">
      <c r="A1798" s="207"/>
      <c r="B1798" s="208"/>
    </row>
    <row r="1799" spans="1:2" s="209" customFormat="1" ht="16.5" customHeight="1" x14ac:dyDescent="0.25">
      <c r="A1799" s="207"/>
      <c r="B1799" s="208"/>
    </row>
    <row r="1800" spans="1:2" s="209" customFormat="1" ht="16.5" customHeight="1" x14ac:dyDescent="0.25">
      <c r="A1800" s="207"/>
      <c r="B1800" s="208"/>
    </row>
    <row r="1801" spans="1:2" s="209" customFormat="1" ht="16.5" customHeight="1" x14ac:dyDescent="0.25">
      <c r="A1801" s="207"/>
      <c r="B1801" s="208"/>
    </row>
    <row r="1802" spans="1:2" s="209" customFormat="1" ht="16.5" customHeight="1" x14ac:dyDescent="0.25">
      <c r="A1802" s="207"/>
      <c r="B1802" s="208"/>
    </row>
    <row r="1803" spans="1:2" s="209" customFormat="1" ht="16.5" customHeight="1" x14ac:dyDescent="0.25">
      <c r="A1803" s="207"/>
      <c r="B1803" s="208"/>
    </row>
    <row r="1804" spans="1:2" s="209" customFormat="1" ht="16.5" customHeight="1" x14ac:dyDescent="0.25">
      <c r="A1804" s="207"/>
      <c r="B1804" s="208"/>
    </row>
    <row r="1805" spans="1:2" s="209" customFormat="1" ht="16.5" customHeight="1" x14ac:dyDescent="0.25">
      <c r="A1805" s="207"/>
      <c r="B1805" s="208"/>
    </row>
    <row r="1806" spans="1:2" s="209" customFormat="1" ht="16.5" customHeight="1" x14ac:dyDescent="0.25">
      <c r="A1806" s="207"/>
      <c r="B1806" s="208"/>
    </row>
    <row r="1807" spans="1:2" s="209" customFormat="1" ht="16.5" customHeight="1" x14ac:dyDescent="0.25">
      <c r="A1807" s="207"/>
      <c r="B1807" s="208"/>
    </row>
    <row r="1808" spans="1:2" s="209" customFormat="1" ht="16.5" customHeight="1" x14ac:dyDescent="0.25">
      <c r="A1808" s="207"/>
      <c r="B1808" s="208"/>
    </row>
    <row r="1809" spans="1:2" s="209" customFormat="1" ht="16.5" customHeight="1" x14ac:dyDescent="0.25">
      <c r="A1809" s="207"/>
      <c r="B1809" s="208"/>
    </row>
    <row r="1810" spans="1:2" s="209" customFormat="1" ht="16.5" customHeight="1" x14ac:dyDescent="0.25">
      <c r="A1810" s="207"/>
      <c r="B1810" s="208"/>
    </row>
    <row r="1811" spans="1:2" s="209" customFormat="1" ht="16.5" customHeight="1" x14ac:dyDescent="0.25">
      <c r="A1811" s="207"/>
      <c r="B1811" s="208"/>
    </row>
    <row r="1812" spans="1:2" s="209" customFormat="1" ht="16.5" customHeight="1" x14ac:dyDescent="0.25">
      <c r="A1812" s="207"/>
      <c r="B1812" s="208"/>
    </row>
    <row r="1813" spans="1:2" s="209" customFormat="1" ht="16.5" customHeight="1" x14ac:dyDescent="0.25">
      <c r="A1813" s="207"/>
      <c r="B1813" s="208"/>
    </row>
    <row r="1814" spans="1:2" s="209" customFormat="1" ht="16.5" customHeight="1" x14ac:dyDescent="0.25">
      <c r="A1814" s="207"/>
      <c r="B1814" s="208"/>
    </row>
    <row r="1815" spans="1:2" s="209" customFormat="1" ht="16.5" customHeight="1" x14ac:dyDescent="0.25">
      <c r="A1815" s="207"/>
      <c r="B1815" s="208"/>
    </row>
    <row r="1816" spans="1:2" s="209" customFormat="1" ht="16.5" customHeight="1" x14ac:dyDescent="0.25">
      <c r="A1816" s="207"/>
      <c r="B1816" s="208"/>
    </row>
    <row r="1817" spans="1:2" s="209" customFormat="1" ht="16.5" customHeight="1" x14ac:dyDescent="0.25">
      <c r="A1817" s="207"/>
      <c r="B1817" s="208"/>
    </row>
    <row r="1818" spans="1:2" s="209" customFormat="1" ht="16.5" customHeight="1" x14ac:dyDescent="0.25">
      <c r="A1818" s="207"/>
      <c r="B1818" s="208"/>
    </row>
    <row r="1819" spans="1:2" s="209" customFormat="1" ht="16.5" customHeight="1" x14ac:dyDescent="0.25">
      <c r="A1819" s="207"/>
      <c r="B1819" s="208"/>
    </row>
    <row r="1820" spans="1:2" s="209" customFormat="1" ht="16.5" customHeight="1" x14ac:dyDescent="0.25">
      <c r="A1820" s="207"/>
      <c r="B1820" s="208"/>
    </row>
    <row r="1821" spans="1:2" s="209" customFormat="1" ht="16.5" customHeight="1" x14ac:dyDescent="0.25">
      <c r="A1821" s="207"/>
      <c r="B1821" s="208"/>
    </row>
    <row r="1822" spans="1:2" s="209" customFormat="1" ht="16.5" customHeight="1" x14ac:dyDescent="0.25">
      <c r="A1822" s="207"/>
      <c r="B1822" s="208"/>
    </row>
    <row r="1823" spans="1:2" s="209" customFormat="1" ht="16.5" customHeight="1" x14ac:dyDescent="0.25">
      <c r="A1823" s="207"/>
      <c r="B1823" s="208"/>
    </row>
    <row r="1824" spans="1:2" s="209" customFormat="1" ht="16.5" customHeight="1" x14ac:dyDescent="0.25">
      <c r="A1824" s="207"/>
      <c r="B1824" s="208"/>
    </row>
    <row r="1825" spans="1:2" s="209" customFormat="1" ht="16.5" customHeight="1" x14ac:dyDescent="0.25">
      <c r="A1825" s="207"/>
      <c r="B1825" s="208"/>
    </row>
    <row r="1826" spans="1:2" s="209" customFormat="1" ht="16.5" customHeight="1" x14ac:dyDescent="0.25">
      <c r="A1826" s="207"/>
      <c r="B1826" s="208"/>
    </row>
    <row r="1827" spans="1:2" s="209" customFormat="1" ht="16.5" customHeight="1" x14ac:dyDescent="0.25">
      <c r="A1827" s="207"/>
      <c r="B1827" s="208"/>
    </row>
    <row r="1828" spans="1:2" s="209" customFormat="1" ht="16.5" customHeight="1" x14ac:dyDescent="0.25">
      <c r="A1828" s="207"/>
      <c r="B1828" s="208"/>
    </row>
    <row r="1829" spans="1:2" s="209" customFormat="1" ht="16.5" customHeight="1" x14ac:dyDescent="0.25">
      <c r="A1829" s="207"/>
      <c r="B1829" s="208"/>
    </row>
    <row r="1830" spans="1:2" s="209" customFormat="1" ht="16.5" customHeight="1" x14ac:dyDescent="0.25">
      <c r="A1830" s="207"/>
      <c r="B1830" s="208"/>
    </row>
    <row r="1831" spans="1:2" s="209" customFormat="1" ht="16.5" customHeight="1" x14ac:dyDescent="0.25">
      <c r="A1831" s="207"/>
      <c r="B1831" s="208"/>
    </row>
    <row r="1832" spans="1:2" s="209" customFormat="1" ht="16.5" customHeight="1" x14ac:dyDescent="0.25">
      <c r="A1832" s="207"/>
      <c r="B1832" s="208"/>
    </row>
    <row r="1833" spans="1:2" s="209" customFormat="1" ht="16.5" customHeight="1" x14ac:dyDescent="0.25">
      <c r="A1833" s="207"/>
      <c r="B1833" s="208"/>
    </row>
    <row r="1834" spans="1:2" s="209" customFormat="1" ht="16.5" customHeight="1" x14ac:dyDescent="0.25">
      <c r="A1834" s="207"/>
      <c r="B1834" s="208"/>
    </row>
    <row r="1835" spans="1:2" s="209" customFormat="1" ht="16.5" customHeight="1" x14ac:dyDescent="0.25">
      <c r="A1835" s="207"/>
      <c r="B1835" s="208"/>
    </row>
    <row r="1836" spans="1:2" s="209" customFormat="1" ht="16.5" customHeight="1" x14ac:dyDescent="0.25">
      <c r="A1836" s="207"/>
      <c r="B1836" s="208"/>
    </row>
    <row r="1837" spans="1:2" s="209" customFormat="1" ht="16.5" customHeight="1" x14ac:dyDescent="0.25">
      <c r="A1837" s="207"/>
      <c r="B1837" s="208"/>
    </row>
    <row r="1838" spans="1:2" s="209" customFormat="1" ht="16.5" customHeight="1" x14ac:dyDescent="0.25">
      <c r="A1838" s="207"/>
      <c r="B1838" s="208"/>
    </row>
    <row r="1839" spans="1:2" s="209" customFormat="1" ht="16.5" customHeight="1" x14ac:dyDescent="0.25">
      <c r="A1839" s="207"/>
      <c r="B1839" s="208"/>
    </row>
    <row r="1840" spans="1:2" s="209" customFormat="1" ht="16.5" customHeight="1" x14ac:dyDescent="0.25">
      <c r="A1840" s="207"/>
      <c r="B1840" s="208"/>
    </row>
    <row r="1841" spans="1:2" s="209" customFormat="1" ht="16.5" customHeight="1" x14ac:dyDescent="0.25">
      <c r="A1841" s="207"/>
      <c r="B1841" s="208"/>
    </row>
    <row r="1842" spans="1:2" s="209" customFormat="1" ht="16.5" customHeight="1" x14ac:dyDescent="0.25">
      <c r="A1842" s="207"/>
      <c r="B1842" s="208"/>
    </row>
    <row r="1843" spans="1:2" s="209" customFormat="1" ht="16.5" customHeight="1" x14ac:dyDescent="0.25">
      <c r="A1843" s="207"/>
      <c r="B1843" s="208"/>
    </row>
    <row r="1844" spans="1:2" s="209" customFormat="1" ht="16.5" customHeight="1" x14ac:dyDescent="0.25">
      <c r="A1844" s="207"/>
      <c r="B1844" s="208"/>
    </row>
    <row r="1845" spans="1:2" s="209" customFormat="1" ht="16.5" customHeight="1" x14ac:dyDescent="0.25">
      <c r="A1845" s="207"/>
      <c r="B1845" s="208"/>
    </row>
    <row r="1846" spans="1:2" s="209" customFormat="1" ht="16.5" customHeight="1" x14ac:dyDescent="0.25">
      <c r="A1846" s="207"/>
      <c r="B1846" s="208"/>
    </row>
    <row r="1847" spans="1:2" s="209" customFormat="1" ht="16.5" customHeight="1" x14ac:dyDescent="0.25">
      <c r="A1847" s="207"/>
      <c r="B1847" s="208"/>
    </row>
    <row r="1848" spans="1:2" s="209" customFormat="1" ht="16.5" customHeight="1" x14ac:dyDescent="0.25">
      <c r="A1848" s="207"/>
      <c r="B1848" s="208"/>
    </row>
    <row r="1849" spans="1:2" s="209" customFormat="1" ht="16.5" customHeight="1" x14ac:dyDescent="0.25">
      <c r="A1849" s="207"/>
      <c r="B1849" s="208"/>
    </row>
    <row r="1850" spans="1:2" s="209" customFormat="1" ht="16.5" customHeight="1" x14ac:dyDescent="0.25">
      <c r="A1850" s="207"/>
      <c r="B1850" s="208"/>
    </row>
    <row r="1851" spans="1:2" s="209" customFormat="1" ht="16.5" customHeight="1" x14ac:dyDescent="0.25">
      <c r="A1851" s="207"/>
      <c r="B1851" s="208"/>
    </row>
    <row r="1852" spans="1:2" s="209" customFormat="1" ht="16.5" customHeight="1" x14ac:dyDescent="0.25">
      <c r="A1852" s="207"/>
      <c r="B1852" s="208"/>
    </row>
    <row r="1853" spans="1:2" s="209" customFormat="1" ht="16.5" customHeight="1" x14ac:dyDescent="0.25">
      <c r="A1853" s="207"/>
      <c r="B1853" s="208"/>
    </row>
    <row r="1854" spans="1:2" s="209" customFormat="1" ht="16.5" customHeight="1" x14ac:dyDescent="0.25">
      <c r="A1854" s="207"/>
      <c r="B1854" s="208"/>
    </row>
    <row r="1855" spans="1:2" s="209" customFormat="1" ht="16.5" customHeight="1" x14ac:dyDescent="0.25">
      <c r="A1855" s="207"/>
      <c r="B1855" s="208"/>
    </row>
    <row r="1856" spans="1:2" s="209" customFormat="1" ht="16.5" customHeight="1" x14ac:dyDescent="0.25">
      <c r="A1856" s="207"/>
      <c r="B1856" s="208"/>
    </row>
    <row r="1857" spans="1:2" s="209" customFormat="1" ht="16.5" customHeight="1" x14ac:dyDescent="0.25">
      <c r="A1857" s="207"/>
      <c r="B1857" s="208"/>
    </row>
    <row r="1858" spans="1:2" s="209" customFormat="1" ht="16.5" customHeight="1" x14ac:dyDescent="0.25">
      <c r="A1858" s="207"/>
      <c r="B1858" s="208"/>
    </row>
    <row r="1859" spans="1:2" s="209" customFormat="1" ht="16.5" customHeight="1" x14ac:dyDescent="0.25">
      <c r="A1859" s="207"/>
      <c r="B1859" s="208"/>
    </row>
    <row r="1860" spans="1:2" s="209" customFormat="1" ht="16.5" customHeight="1" x14ac:dyDescent="0.25">
      <c r="A1860" s="207"/>
      <c r="B1860" s="208"/>
    </row>
    <row r="1861" spans="1:2" s="209" customFormat="1" ht="16.5" customHeight="1" x14ac:dyDescent="0.25">
      <c r="A1861" s="207"/>
      <c r="B1861" s="208"/>
    </row>
    <row r="1862" spans="1:2" s="209" customFormat="1" ht="16.5" customHeight="1" x14ac:dyDescent="0.25">
      <c r="A1862" s="207"/>
      <c r="B1862" s="208"/>
    </row>
    <row r="1863" spans="1:2" s="209" customFormat="1" ht="16.5" customHeight="1" x14ac:dyDescent="0.25">
      <c r="A1863" s="207"/>
      <c r="B1863" s="208"/>
    </row>
    <row r="1864" spans="1:2" s="209" customFormat="1" ht="19.5" customHeight="1" x14ac:dyDescent="0.25">
      <c r="A1864" s="207"/>
      <c r="B1864" s="208"/>
    </row>
    <row r="1865" spans="1:2" s="209" customFormat="1" ht="16.5" customHeight="1" x14ac:dyDescent="0.25">
      <c r="A1865" s="207"/>
      <c r="B1865" s="208"/>
    </row>
    <row r="1866" spans="1:2" s="209" customFormat="1" ht="16.5" customHeight="1" x14ac:dyDescent="0.25">
      <c r="A1866" s="207"/>
      <c r="B1866" s="208"/>
    </row>
    <row r="1867" spans="1:2" s="209" customFormat="1" ht="16.5" customHeight="1" x14ac:dyDescent="0.25">
      <c r="A1867" s="207"/>
      <c r="B1867" s="208"/>
    </row>
    <row r="1868" spans="1:2" s="209" customFormat="1" ht="16.5" customHeight="1" x14ac:dyDescent="0.25">
      <c r="A1868" s="207"/>
      <c r="B1868" s="208"/>
    </row>
    <row r="1869" spans="1:2" s="209" customFormat="1" ht="16.5" customHeight="1" x14ac:dyDescent="0.25">
      <c r="A1869" s="207"/>
      <c r="B1869" s="208"/>
    </row>
    <row r="1870" spans="1:2" s="209" customFormat="1" ht="16.5" customHeight="1" x14ac:dyDescent="0.25">
      <c r="A1870" s="207"/>
      <c r="B1870" s="208"/>
    </row>
    <row r="1871" spans="1:2" s="209" customFormat="1" ht="16.5" customHeight="1" x14ac:dyDescent="0.25">
      <c r="A1871" s="207"/>
      <c r="B1871" s="208"/>
    </row>
    <row r="1872" spans="1:2" s="209" customFormat="1" ht="16.5" customHeight="1" x14ac:dyDescent="0.25">
      <c r="A1872" s="207"/>
      <c r="B1872" s="208"/>
    </row>
    <row r="1873" spans="1:2" s="209" customFormat="1" ht="16.5" customHeight="1" x14ac:dyDescent="0.25">
      <c r="A1873" s="207"/>
      <c r="B1873" s="208"/>
    </row>
    <row r="1874" spans="1:2" s="209" customFormat="1" ht="16.5" customHeight="1" x14ac:dyDescent="0.25">
      <c r="A1874" s="207"/>
      <c r="B1874" s="208"/>
    </row>
    <row r="1875" spans="1:2" s="209" customFormat="1" ht="16.5" customHeight="1" x14ac:dyDescent="0.25">
      <c r="A1875" s="207"/>
      <c r="B1875" s="208"/>
    </row>
    <row r="1876" spans="1:2" s="209" customFormat="1" ht="16.5" customHeight="1" x14ac:dyDescent="0.25">
      <c r="A1876" s="207"/>
      <c r="B1876" s="208"/>
    </row>
    <row r="1877" spans="1:2" s="209" customFormat="1" ht="16.5" customHeight="1" x14ac:dyDescent="0.25">
      <c r="A1877" s="207"/>
      <c r="B1877" s="208"/>
    </row>
    <row r="1878" spans="1:2" s="209" customFormat="1" ht="16.5" customHeight="1" x14ac:dyDescent="0.25">
      <c r="A1878" s="207"/>
      <c r="B1878" s="208"/>
    </row>
    <row r="1879" spans="1:2" s="209" customFormat="1" ht="16.5" customHeight="1" x14ac:dyDescent="0.25">
      <c r="A1879" s="207"/>
      <c r="B1879" s="208"/>
    </row>
    <row r="1880" spans="1:2" s="209" customFormat="1" ht="16.5" customHeight="1" x14ac:dyDescent="0.25">
      <c r="A1880" s="207"/>
      <c r="B1880" s="208"/>
    </row>
    <row r="1881" spans="1:2" s="209" customFormat="1" ht="16.5" customHeight="1" x14ac:dyDescent="0.25">
      <c r="A1881" s="207"/>
      <c r="B1881" s="208"/>
    </row>
    <row r="1882" spans="1:2" s="209" customFormat="1" ht="16.5" customHeight="1" x14ac:dyDescent="0.25">
      <c r="A1882" s="207"/>
      <c r="B1882" s="208"/>
    </row>
    <row r="1883" spans="1:2" s="209" customFormat="1" ht="16.5" customHeight="1" x14ac:dyDescent="0.25">
      <c r="A1883" s="207"/>
      <c r="B1883" s="208"/>
    </row>
    <row r="1884" spans="1:2" s="209" customFormat="1" ht="16.5" customHeight="1" x14ac:dyDescent="0.25">
      <c r="A1884" s="207"/>
      <c r="B1884" s="208"/>
    </row>
    <row r="1885" spans="1:2" s="209" customFormat="1" ht="16.5" customHeight="1" x14ac:dyDescent="0.25">
      <c r="A1885" s="207"/>
      <c r="B1885" s="208"/>
    </row>
    <row r="1886" spans="1:2" s="209" customFormat="1" ht="16.5" customHeight="1" x14ac:dyDescent="0.25">
      <c r="A1886" s="207"/>
      <c r="B1886" s="208"/>
    </row>
    <row r="1887" spans="1:2" s="209" customFormat="1" ht="16.5" customHeight="1" x14ac:dyDescent="0.25">
      <c r="A1887" s="207"/>
      <c r="B1887" s="208"/>
    </row>
    <row r="1888" spans="1:2" s="209" customFormat="1" ht="16.5" customHeight="1" x14ac:dyDescent="0.25">
      <c r="A1888" s="207"/>
      <c r="B1888" s="208"/>
    </row>
    <row r="1889" spans="1:2" s="209" customFormat="1" ht="16.5" customHeight="1" x14ac:dyDescent="0.25">
      <c r="A1889" s="207"/>
      <c r="B1889" s="208"/>
    </row>
    <row r="1890" spans="1:2" s="209" customFormat="1" ht="16.5" customHeight="1" x14ac:dyDescent="0.25">
      <c r="A1890" s="207"/>
      <c r="B1890" s="208"/>
    </row>
    <row r="1891" spans="1:2" s="209" customFormat="1" ht="16.5" customHeight="1" x14ac:dyDescent="0.25">
      <c r="A1891" s="207"/>
      <c r="B1891" s="208"/>
    </row>
    <row r="1892" spans="1:2" s="209" customFormat="1" ht="16.5" customHeight="1" x14ac:dyDescent="0.25">
      <c r="A1892" s="207"/>
      <c r="B1892" s="208"/>
    </row>
    <row r="1893" spans="1:2" s="209" customFormat="1" ht="16.5" customHeight="1" x14ac:dyDescent="0.25">
      <c r="A1893" s="207"/>
      <c r="B1893" s="208"/>
    </row>
    <row r="1894" spans="1:2" s="209" customFormat="1" ht="16.5" customHeight="1" x14ac:dyDescent="0.25">
      <c r="A1894" s="207"/>
      <c r="B1894" s="208"/>
    </row>
    <row r="1895" spans="1:2" s="209" customFormat="1" ht="16.5" customHeight="1" x14ac:dyDescent="0.25">
      <c r="A1895" s="207"/>
      <c r="B1895" s="208"/>
    </row>
    <row r="1896" spans="1:2" s="209" customFormat="1" ht="16.5" customHeight="1" x14ac:dyDescent="0.25">
      <c r="A1896" s="207"/>
      <c r="B1896" s="208"/>
    </row>
    <row r="1897" spans="1:2" s="209" customFormat="1" ht="16.5" customHeight="1" x14ac:dyDescent="0.25">
      <c r="A1897" s="207"/>
      <c r="B1897" s="208"/>
    </row>
    <row r="1898" spans="1:2" s="209" customFormat="1" ht="16.5" customHeight="1" x14ac:dyDescent="0.25">
      <c r="A1898" s="207"/>
      <c r="B1898" s="208"/>
    </row>
    <row r="1899" spans="1:2" s="209" customFormat="1" ht="16.5" customHeight="1" x14ac:dyDescent="0.25">
      <c r="A1899" s="207"/>
      <c r="B1899" s="208"/>
    </row>
    <row r="1900" spans="1:2" s="209" customFormat="1" ht="16.5" customHeight="1" x14ac:dyDescent="0.25">
      <c r="A1900" s="207"/>
      <c r="B1900" s="208"/>
    </row>
    <row r="1901" spans="1:2" s="209" customFormat="1" ht="16.5" customHeight="1" x14ac:dyDescent="0.25">
      <c r="A1901" s="207"/>
      <c r="B1901" s="208"/>
    </row>
    <row r="1902" spans="1:2" s="209" customFormat="1" ht="16.5" customHeight="1" x14ac:dyDescent="0.25">
      <c r="A1902" s="207"/>
      <c r="B1902" s="208"/>
    </row>
    <row r="1903" spans="1:2" s="209" customFormat="1" ht="16.5" customHeight="1" x14ac:dyDescent="0.25">
      <c r="A1903" s="207"/>
      <c r="B1903" s="208"/>
    </row>
    <row r="1904" spans="1:2" s="209" customFormat="1" ht="16.5" customHeight="1" x14ac:dyDescent="0.25">
      <c r="A1904" s="207"/>
      <c r="B1904" s="208"/>
    </row>
    <row r="1905" spans="1:2" s="209" customFormat="1" ht="16.5" customHeight="1" x14ac:dyDescent="0.25">
      <c r="A1905" s="207"/>
      <c r="B1905" s="208"/>
    </row>
    <row r="1906" spans="1:2" s="209" customFormat="1" ht="16.5" customHeight="1" x14ac:dyDescent="0.25">
      <c r="A1906" s="207"/>
      <c r="B1906" s="208"/>
    </row>
    <row r="1907" spans="1:2" s="209" customFormat="1" ht="16.5" customHeight="1" x14ac:dyDescent="0.25">
      <c r="A1907" s="207"/>
      <c r="B1907" s="208"/>
    </row>
    <row r="1908" spans="1:2" s="209" customFormat="1" ht="16.5" customHeight="1" x14ac:dyDescent="0.25">
      <c r="A1908" s="207"/>
      <c r="B1908" s="208"/>
    </row>
    <row r="1909" spans="1:2" s="209" customFormat="1" ht="16.5" customHeight="1" x14ac:dyDescent="0.25">
      <c r="A1909" s="207"/>
      <c r="B1909" s="208"/>
    </row>
    <row r="1910" spans="1:2" s="209" customFormat="1" ht="16.5" customHeight="1" x14ac:dyDescent="0.25">
      <c r="A1910" s="207"/>
      <c r="B1910" s="208"/>
    </row>
    <row r="1911" spans="1:2" s="209" customFormat="1" ht="16.5" customHeight="1" x14ac:dyDescent="0.25">
      <c r="A1911" s="207"/>
      <c r="B1911" s="208"/>
    </row>
    <row r="1912" spans="1:2" s="209" customFormat="1" ht="16.5" customHeight="1" x14ac:dyDescent="0.25">
      <c r="A1912" s="207"/>
      <c r="B1912" s="208"/>
    </row>
    <row r="1913" spans="1:2" s="209" customFormat="1" ht="16.5" customHeight="1" x14ac:dyDescent="0.25">
      <c r="A1913" s="207"/>
      <c r="B1913" s="208"/>
    </row>
    <row r="1914" spans="1:2" s="209" customFormat="1" ht="16.5" customHeight="1" x14ac:dyDescent="0.25">
      <c r="A1914" s="207"/>
      <c r="B1914" s="208"/>
    </row>
    <row r="1915" spans="1:2" s="209" customFormat="1" ht="16.5" customHeight="1" x14ac:dyDescent="0.25">
      <c r="A1915" s="207"/>
      <c r="B1915" s="208"/>
    </row>
    <row r="1916" spans="1:2" s="209" customFormat="1" ht="16.5" customHeight="1" x14ac:dyDescent="0.25">
      <c r="A1916" s="207"/>
      <c r="B1916" s="208"/>
    </row>
    <row r="1917" spans="1:2" s="209" customFormat="1" ht="16.5" customHeight="1" x14ac:dyDescent="0.25">
      <c r="A1917" s="207"/>
      <c r="B1917" s="208"/>
    </row>
    <row r="1918" spans="1:2" s="209" customFormat="1" ht="16.5" customHeight="1" x14ac:dyDescent="0.25">
      <c r="A1918" s="207"/>
      <c r="B1918" s="208"/>
    </row>
    <row r="1919" spans="1:2" s="209" customFormat="1" ht="16.5" customHeight="1" x14ac:dyDescent="0.25">
      <c r="A1919" s="207"/>
      <c r="B1919" s="208"/>
    </row>
    <row r="1920" spans="1:2" s="209" customFormat="1" ht="16.5" customHeight="1" x14ac:dyDescent="0.25">
      <c r="A1920" s="207"/>
      <c r="B1920" s="208"/>
    </row>
    <row r="1921" spans="1:2" s="209" customFormat="1" ht="16.5" customHeight="1" x14ac:dyDescent="0.25">
      <c r="A1921" s="207"/>
      <c r="B1921" s="208"/>
    </row>
    <row r="1922" spans="1:2" s="209" customFormat="1" ht="16.5" customHeight="1" x14ac:dyDescent="0.25">
      <c r="A1922" s="207"/>
      <c r="B1922" s="208"/>
    </row>
    <row r="1923" spans="1:2" s="209" customFormat="1" ht="16.5" customHeight="1" x14ac:dyDescent="0.25">
      <c r="A1923" s="207"/>
      <c r="B1923" s="208"/>
    </row>
    <row r="1924" spans="1:2" s="209" customFormat="1" ht="16.5" customHeight="1" x14ac:dyDescent="0.25">
      <c r="A1924" s="207"/>
      <c r="B1924" s="208"/>
    </row>
    <row r="1925" spans="1:2" s="209" customFormat="1" ht="16.5" customHeight="1" x14ac:dyDescent="0.25">
      <c r="A1925" s="207"/>
      <c r="B1925" s="208"/>
    </row>
    <row r="1926" spans="1:2" s="209" customFormat="1" ht="16.5" customHeight="1" x14ac:dyDescent="0.25">
      <c r="A1926" s="207"/>
      <c r="B1926" s="208"/>
    </row>
    <row r="1927" spans="1:2" s="209" customFormat="1" ht="16.5" customHeight="1" x14ac:dyDescent="0.25">
      <c r="A1927" s="207"/>
      <c r="B1927" s="208"/>
    </row>
    <row r="1928" spans="1:2" s="209" customFormat="1" ht="16.5" customHeight="1" x14ac:dyDescent="0.25">
      <c r="A1928" s="207"/>
      <c r="B1928" s="208"/>
    </row>
    <row r="1929" spans="1:2" s="209" customFormat="1" ht="16.5" customHeight="1" x14ac:dyDescent="0.25">
      <c r="A1929" s="207"/>
      <c r="B1929" s="208"/>
    </row>
    <row r="1930" spans="1:2" s="209" customFormat="1" ht="16.5" customHeight="1" x14ac:dyDescent="0.25">
      <c r="A1930" s="207"/>
      <c r="B1930" s="208"/>
    </row>
    <row r="1931" spans="1:2" s="209" customFormat="1" ht="16.5" customHeight="1" x14ac:dyDescent="0.25">
      <c r="A1931" s="207"/>
      <c r="B1931" s="208"/>
    </row>
    <row r="1932" spans="1:2" s="209" customFormat="1" ht="16.5" customHeight="1" x14ac:dyDescent="0.25">
      <c r="A1932" s="207"/>
      <c r="B1932" s="208"/>
    </row>
    <row r="1933" spans="1:2" s="209" customFormat="1" ht="16.5" customHeight="1" x14ac:dyDescent="0.25">
      <c r="A1933" s="207"/>
      <c r="B1933" s="208"/>
    </row>
    <row r="1934" spans="1:2" s="209" customFormat="1" ht="16.5" customHeight="1" x14ac:dyDescent="0.25">
      <c r="A1934" s="207"/>
      <c r="B1934" s="208"/>
    </row>
    <row r="1935" spans="1:2" s="209" customFormat="1" ht="16.5" customHeight="1" x14ac:dyDescent="0.25">
      <c r="A1935" s="207"/>
      <c r="B1935" s="208"/>
    </row>
    <row r="1936" spans="1:2" s="209" customFormat="1" ht="16.5" customHeight="1" x14ac:dyDescent="0.25">
      <c r="A1936" s="207"/>
      <c r="B1936" s="208"/>
    </row>
    <row r="1937" spans="1:15" s="209" customFormat="1" ht="16.5" customHeight="1" x14ac:dyDescent="0.25">
      <c r="A1937" s="207"/>
      <c r="B1937" s="208"/>
    </row>
    <row r="1938" spans="1:15" s="209" customFormat="1" ht="16.5" customHeight="1" x14ac:dyDescent="0.25">
      <c r="A1938" s="207"/>
      <c r="B1938" s="208"/>
    </row>
    <row r="1939" spans="1:15" s="209" customFormat="1" ht="16.5" customHeight="1" x14ac:dyDescent="0.25">
      <c r="A1939" s="207"/>
      <c r="B1939" s="208"/>
    </row>
    <row r="1940" spans="1:15" s="209" customFormat="1" ht="16.5" customHeight="1" x14ac:dyDescent="0.25">
      <c r="A1940" s="207"/>
      <c r="B1940" s="208"/>
    </row>
    <row r="1941" spans="1:15" s="209" customFormat="1" ht="16.5" customHeight="1" x14ac:dyDescent="0.25">
      <c r="A1941" s="207"/>
      <c r="B1941" s="208"/>
    </row>
    <row r="1942" spans="1:15" s="209" customFormat="1" ht="16.5" customHeight="1" x14ac:dyDescent="0.25">
      <c r="A1942" s="207"/>
      <c r="B1942" s="208"/>
    </row>
    <row r="1943" spans="1:15" s="209" customFormat="1" ht="16.5" customHeight="1" x14ac:dyDescent="0.25">
      <c r="A1943" s="207"/>
      <c r="B1943" s="208"/>
    </row>
    <row r="1944" spans="1:15" s="209" customFormat="1" ht="16.5" customHeight="1" x14ac:dyDescent="0.25">
      <c r="A1944" s="207"/>
      <c r="B1944" s="208"/>
    </row>
    <row r="1945" spans="1:15" s="209" customFormat="1" ht="16.5" customHeight="1" x14ac:dyDescent="0.25">
      <c r="A1945" s="207"/>
      <c r="B1945" s="208"/>
    </row>
    <row r="1946" spans="1:15" s="209" customFormat="1" ht="16.5" customHeight="1" x14ac:dyDescent="0.25">
      <c r="A1946" s="207"/>
      <c r="B1946" s="208"/>
      <c r="O1946" s="217"/>
    </row>
    <row r="1947" spans="1:15" s="209" customFormat="1" ht="16.5" customHeight="1" x14ac:dyDescent="0.25">
      <c r="A1947" s="207"/>
      <c r="B1947" s="208"/>
    </row>
    <row r="1948" spans="1:15" s="209" customFormat="1" ht="16.5" customHeight="1" x14ac:dyDescent="0.25">
      <c r="A1948" s="207"/>
      <c r="B1948" s="208"/>
    </row>
    <row r="1949" spans="1:15" s="209" customFormat="1" ht="16.5" customHeight="1" x14ac:dyDescent="0.25">
      <c r="A1949" s="207"/>
      <c r="B1949" s="208"/>
    </row>
    <row r="1950" spans="1:15" s="209" customFormat="1" ht="16.5" customHeight="1" x14ac:dyDescent="0.25">
      <c r="A1950" s="207"/>
      <c r="B1950" s="208"/>
    </row>
    <row r="1951" spans="1:15" s="209" customFormat="1" ht="16.5" customHeight="1" x14ac:dyDescent="0.25">
      <c r="A1951" s="207"/>
      <c r="B1951" s="208"/>
    </row>
    <row r="1952" spans="1:15" s="209" customFormat="1" ht="16.5" customHeight="1" x14ac:dyDescent="0.25">
      <c r="A1952" s="207"/>
      <c r="B1952" s="208"/>
    </row>
    <row r="1953" spans="1:2" s="209" customFormat="1" ht="16.5" customHeight="1" x14ac:dyDescent="0.25">
      <c r="A1953" s="207"/>
      <c r="B1953" s="208"/>
    </row>
    <row r="1954" spans="1:2" s="209" customFormat="1" ht="16.5" customHeight="1" x14ac:dyDescent="0.25">
      <c r="A1954" s="207"/>
      <c r="B1954" s="208"/>
    </row>
    <row r="1955" spans="1:2" s="209" customFormat="1" ht="16.5" customHeight="1" x14ac:dyDescent="0.25">
      <c r="A1955" s="207"/>
      <c r="B1955" s="208"/>
    </row>
    <row r="1956" spans="1:2" s="209" customFormat="1" ht="16.5" customHeight="1" x14ac:dyDescent="0.25">
      <c r="A1956" s="207"/>
      <c r="B1956" s="208"/>
    </row>
    <row r="1957" spans="1:2" s="209" customFormat="1" ht="16.5" customHeight="1" x14ac:dyDescent="0.25">
      <c r="A1957" s="207"/>
      <c r="B1957" s="208"/>
    </row>
    <row r="1958" spans="1:2" s="209" customFormat="1" ht="16.5" customHeight="1" x14ac:dyDescent="0.25">
      <c r="A1958" s="207"/>
      <c r="B1958" s="208"/>
    </row>
    <row r="1959" spans="1:2" s="209" customFormat="1" ht="16.5" customHeight="1" x14ac:dyDescent="0.25">
      <c r="A1959" s="207"/>
      <c r="B1959" s="208"/>
    </row>
    <row r="1960" spans="1:2" s="209" customFormat="1" ht="16.5" customHeight="1" x14ac:dyDescent="0.25">
      <c r="A1960" s="207"/>
      <c r="B1960" s="208"/>
    </row>
    <row r="1961" spans="1:2" s="209" customFormat="1" ht="16.5" customHeight="1" x14ac:dyDescent="0.25">
      <c r="A1961" s="207"/>
      <c r="B1961" s="208"/>
    </row>
    <row r="1962" spans="1:2" s="209" customFormat="1" ht="16.5" customHeight="1" x14ac:dyDescent="0.25">
      <c r="A1962" s="207"/>
      <c r="B1962" s="208"/>
    </row>
    <row r="1963" spans="1:2" s="209" customFormat="1" ht="16.5" customHeight="1" x14ac:dyDescent="0.25">
      <c r="A1963" s="207"/>
      <c r="B1963" s="208"/>
    </row>
    <row r="1964" spans="1:2" s="209" customFormat="1" ht="16.5" customHeight="1" x14ac:dyDescent="0.25">
      <c r="A1964" s="207"/>
      <c r="B1964" s="208"/>
    </row>
    <row r="1965" spans="1:2" s="209" customFormat="1" ht="16.5" customHeight="1" x14ac:dyDescent="0.25">
      <c r="A1965" s="207"/>
      <c r="B1965" s="208"/>
    </row>
    <row r="1966" spans="1:2" s="209" customFormat="1" ht="16.5" customHeight="1" x14ac:dyDescent="0.25">
      <c r="A1966" s="207"/>
      <c r="B1966" s="208"/>
    </row>
    <row r="1967" spans="1:2" s="209" customFormat="1" ht="16.5" customHeight="1" x14ac:dyDescent="0.25">
      <c r="A1967" s="207"/>
      <c r="B1967" s="208"/>
    </row>
    <row r="1968" spans="1:2" s="209" customFormat="1" ht="16.5" customHeight="1" x14ac:dyDescent="0.25">
      <c r="A1968" s="207"/>
      <c r="B1968" s="208"/>
    </row>
    <row r="1969" spans="1:2" s="209" customFormat="1" ht="16.5" customHeight="1" x14ac:dyDescent="0.25">
      <c r="A1969" s="207"/>
      <c r="B1969" s="208"/>
    </row>
    <row r="1970" spans="1:2" s="209" customFormat="1" ht="16.5" customHeight="1" x14ac:dyDescent="0.25">
      <c r="A1970" s="207"/>
      <c r="B1970" s="208"/>
    </row>
    <row r="1971" spans="1:2" s="209" customFormat="1" ht="16.5" customHeight="1" x14ac:dyDescent="0.25">
      <c r="A1971" s="207"/>
      <c r="B1971" s="208"/>
    </row>
    <row r="1972" spans="1:2" s="209" customFormat="1" ht="16.5" customHeight="1" x14ac:dyDescent="0.25">
      <c r="A1972" s="207"/>
      <c r="B1972" s="208"/>
    </row>
    <row r="1973" spans="1:2" s="209" customFormat="1" ht="16.5" customHeight="1" x14ac:dyDescent="0.25">
      <c r="A1973" s="207"/>
      <c r="B1973" s="208"/>
    </row>
    <row r="1974" spans="1:2" s="209" customFormat="1" ht="16.5" customHeight="1" x14ac:dyDescent="0.25">
      <c r="A1974" s="207"/>
      <c r="B1974" s="208"/>
    </row>
    <row r="1975" spans="1:2" s="209" customFormat="1" ht="16.5" customHeight="1" x14ac:dyDescent="0.25">
      <c r="A1975" s="207"/>
      <c r="B1975" s="208"/>
    </row>
    <row r="1976" spans="1:2" s="209" customFormat="1" ht="16.5" customHeight="1" x14ac:dyDescent="0.25">
      <c r="A1976" s="207"/>
      <c r="B1976" s="208"/>
    </row>
    <row r="1977" spans="1:2" s="209" customFormat="1" ht="16.5" customHeight="1" x14ac:dyDescent="0.25">
      <c r="A1977" s="207"/>
      <c r="B1977" s="208"/>
    </row>
    <row r="1978" spans="1:2" s="209" customFormat="1" ht="16.5" customHeight="1" x14ac:dyDescent="0.25">
      <c r="A1978" s="207"/>
      <c r="B1978" s="208"/>
    </row>
    <row r="1979" spans="1:2" s="209" customFormat="1" ht="16.5" customHeight="1" x14ac:dyDescent="0.25">
      <c r="A1979" s="207"/>
      <c r="B1979" s="208"/>
    </row>
    <row r="1980" spans="1:2" s="209" customFormat="1" ht="16.5" customHeight="1" x14ac:dyDescent="0.25">
      <c r="A1980" s="207"/>
      <c r="B1980" s="208"/>
    </row>
    <row r="1981" spans="1:2" s="209" customFormat="1" ht="16.5" customHeight="1" x14ac:dyDescent="0.25">
      <c r="A1981" s="207"/>
      <c r="B1981" s="208"/>
    </row>
    <row r="1982" spans="1:2" s="209" customFormat="1" ht="16.5" customHeight="1" x14ac:dyDescent="0.25">
      <c r="A1982" s="207"/>
      <c r="B1982" s="208"/>
    </row>
    <row r="1983" spans="1:2" s="209" customFormat="1" ht="16.5" customHeight="1" x14ac:dyDescent="0.25">
      <c r="A1983" s="207"/>
      <c r="B1983" s="208"/>
    </row>
    <row r="1984" spans="1:2" s="209" customFormat="1" ht="16.5" customHeight="1" x14ac:dyDescent="0.25">
      <c r="A1984" s="207"/>
      <c r="B1984" s="208"/>
    </row>
    <row r="1985" spans="1:2" s="209" customFormat="1" ht="16.5" customHeight="1" x14ac:dyDescent="0.25">
      <c r="A1985" s="207"/>
      <c r="B1985" s="208"/>
    </row>
    <row r="1986" spans="1:2" s="209" customFormat="1" ht="16.5" customHeight="1" x14ac:dyDescent="0.25">
      <c r="A1986" s="207"/>
      <c r="B1986" s="208"/>
    </row>
    <row r="1987" spans="1:2" s="209" customFormat="1" ht="16.5" customHeight="1" x14ac:dyDescent="0.25">
      <c r="A1987" s="207"/>
      <c r="B1987" s="208"/>
    </row>
    <row r="1988" spans="1:2" s="209" customFormat="1" ht="16.5" customHeight="1" x14ac:dyDescent="0.25">
      <c r="A1988" s="207"/>
      <c r="B1988" s="208"/>
    </row>
    <row r="1989" spans="1:2" s="209" customFormat="1" ht="16.5" customHeight="1" x14ac:dyDescent="0.25">
      <c r="A1989" s="207"/>
      <c r="B1989" s="208"/>
    </row>
    <row r="1990" spans="1:2" s="209" customFormat="1" ht="16.5" customHeight="1" x14ac:dyDescent="0.25">
      <c r="A1990" s="207"/>
      <c r="B1990" s="208"/>
    </row>
    <row r="1991" spans="1:2" s="209" customFormat="1" ht="16.5" customHeight="1" x14ac:dyDescent="0.25">
      <c r="A1991" s="207"/>
      <c r="B1991" s="208"/>
    </row>
    <row r="1992" spans="1:2" s="209" customFormat="1" ht="16.5" customHeight="1" x14ac:dyDescent="0.25">
      <c r="A1992" s="207"/>
      <c r="B1992" s="208"/>
    </row>
    <row r="1993" spans="1:2" s="209" customFormat="1" ht="16.5" customHeight="1" x14ac:dyDescent="0.25">
      <c r="A1993" s="207"/>
      <c r="B1993" s="208"/>
    </row>
    <row r="1994" spans="1:2" s="209" customFormat="1" ht="16.5" customHeight="1" x14ac:dyDescent="0.25">
      <c r="A1994" s="207"/>
      <c r="B1994" s="208"/>
    </row>
    <row r="1995" spans="1:2" s="209" customFormat="1" ht="16.5" customHeight="1" x14ac:dyDescent="0.25">
      <c r="A1995" s="207"/>
      <c r="B1995" s="208"/>
    </row>
    <row r="1996" spans="1:2" s="209" customFormat="1" ht="16.5" customHeight="1" x14ac:dyDescent="0.25">
      <c r="A1996" s="207"/>
      <c r="B1996" s="208"/>
    </row>
    <row r="1997" spans="1:2" s="209" customFormat="1" ht="16.5" customHeight="1" x14ac:dyDescent="0.25">
      <c r="A1997" s="207"/>
      <c r="B1997" s="208"/>
    </row>
    <row r="1998" spans="1:2" s="209" customFormat="1" ht="16.5" customHeight="1" x14ac:dyDescent="0.25">
      <c r="A1998" s="207"/>
      <c r="B1998" s="208"/>
    </row>
    <row r="1999" spans="1:2" s="209" customFormat="1" ht="16.5" customHeight="1" x14ac:dyDescent="0.25">
      <c r="A1999" s="207"/>
      <c r="B1999" s="208"/>
    </row>
    <row r="2000" spans="1:2" s="209" customFormat="1" ht="16.5" customHeight="1" x14ac:dyDescent="0.25">
      <c r="A2000" s="207"/>
      <c r="B2000" s="208"/>
    </row>
    <row r="2001" spans="1:2" s="209" customFormat="1" ht="16.5" customHeight="1" x14ac:dyDescent="0.25">
      <c r="A2001" s="207"/>
      <c r="B2001" s="208"/>
    </row>
    <row r="2002" spans="1:2" s="209" customFormat="1" ht="16.5" customHeight="1" x14ac:dyDescent="0.25">
      <c r="A2002" s="207"/>
      <c r="B2002" s="208"/>
    </row>
    <row r="2003" spans="1:2" s="209" customFormat="1" ht="16.5" customHeight="1" x14ac:dyDescent="0.25">
      <c r="A2003" s="207"/>
      <c r="B2003" s="208"/>
    </row>
    <row r="2004" spans="1:2" s="209" customFormat="1" ht="16.5" customHeight="1" x14ac:dyDescent="0.25">
      <c r="A2004" s="207"/>
      <c r="B2004" s="208"/>
    </row>
    <row r="2005" spans="1:2" s="209" customFormat="1" ht="16.5" customHeight="1" x14ac:dyDescent="0.25">
      <c r="A2005" s="207"/>
      <c r="B2005" s="208"/>
    </row>
    <row r="2006" spans="1:2" s="209" customFormat="1" ht="16.5" customHeight="1" x14ac:dyDescent="0.25">
      <c r="A2006" s="207"/>
      <c r="B2006" s="208"/>
    </row>
    <row r="2007" spans="1:2" s="209" customFormat="1" ht="16.5" customHeight="1" x14ac:dyDescent="0.25">
      <c r="A2007" s="207"/>
      <c r="B2007" s="208"/>
    </row>
    <row r="2008" spans="1:2" s="209" customFormat="1" ht="16.5" customHeight="1" x14ac:dyDescent="0.25">
      <c r="A2008" s="207"/>
      <c r="B2008" s="208"/>
    </row>
    <row r="2009" spans="1:2" s="209" customFormat="1" ht="16.5" customHeight="1" x14ac:dyDescent="0.25">
      <c r="A2009" s="207"/>
      <c r="B2009" s="208"/>
    </row>
    <row r="2010" spans="1:2" s="209" customFormat="1" ht="16.5" customHeight="1" x14ac:dyDescent="0.25">
      <c r="A2010" s="207"/>
      <c r="B2010" s="208"/>
    </row>
    <row r="2011" spans="1:2" s="209" customFormat="1" ht="16.5" customHeight="1" x14ac:dyDescent="0.25">
      <c r="A2011" s="207"/>
      <c r="B2011" s="208"/>
    </row>
    <row r="2012" spans="1:2" s="209" customFormat="1" ht="16.5" customHeight="1" x14ac:dyDescent="0.25">
      <c r="A2012" s="207"/>
      <c r="B2012" s="208"/>
    </row>
    <row r="2013" spans="1:2" s="209" customFormat="1" ht="16.5" customHeight="1" x14ac:dyDescent="0.25">
      <c r="A2013" s="207"/>
      <c r="B2013" s="208"/>
    </row>
    <row r="2014" spans="1:2" s="209" customFormat="1" ht="16.5" customHeight="1" x14ac:dyDescent="0.25">
      <c r="A2014" s="207"/>
      <c r="B2014" s="208"/>
    </row>
    <row r="2015" spans="1:2" s="209" customFormat="1" ht="16.5" customHeight="1" x14ac:dyDescent="0.25">
      <c r="A2015" s="207"/>
      <c r="B2015" s="208"/>
    </row>
    <row r="2016" spans="1:2" s="209" customFormat="1" ht="16.5" customHeight="1" x14ac:dyDescent="0.25">
      <c r="A2016" s="207"/>
      <c r="B2016" s="208"/>
    </row>
    <row r="2017" spans="1:2" s="209" customFormat="1" ht="16.5" customHeight="1" x14ac:dyDescent="0.25">
      <c r="A2017" s="207"/>
      <c r="B2017" s="208"/>
    </row>
    <row r="2018" spans="1:2" s="209" customFormat="1" ht="16.5" customHeight="1" x14ac:dyDescent="0.25">
      <c r="A2018" s="207"/>
      <c r="B2018" s="208"/>
    </row>
    <row r="2019" spans="1:2" s="209" customFormat="1" ht="16.5" customHeight="1" x14ac:dyDescent="0.25">
      <c r="A2019" s="207"/>
      <c r="B2019" s="208"/>
    </row>
    <row r="2020" spans="1:2" s="209" customFormat="1" ht="16.5" customHeight="1" x14ac:dyDescent="0.25">
      <c r="A2020" s="207"/>
      <c r="B2020" s="208"/>
    </row>
    <row r="2021" spans="1:2" s="209" customFormat="1" ht="16.5" customHeight="1" x14ac:dyDescent="0.25">
      <c r="A2021" s="207"/>
      <c r="B2021" s="208"/>
    </row>
    <row r="2022" spans="1:2" s="209" customFormat="1" ht="16.5" customHeight="1" x14ac:dyDescent="0.25">
      <c r="A2022" s="207"/>
      <c r="B2022" s="208"/>
    </row>
    <row r="2023" spans="1:2" s="209" customFormat="1" ht="16.5" customHeight="1" x14ac:dyDescent="0.25">
      <c r="A2023" s="207"/>
      <c r="B2023" s="208"/>
    </row>
    <row r="2024" spans="1:2" s="209" customFormat="1" ht="16.5" customHeight="1" x14ac:dyDescent="0.25">
      <c r="A2024" s="207"/>
      <c r="B2024" s="208"/>
    </row>
    <row r="2025" spans="1:2" s="209" customFormat="1" ht="16.5" customHeight="1" x14ac:dyDescent="0.25">
      <c r="A2025" s="207"/>
      <c r="B2025" s="208"/>
    </row>
    <row r="2026" spans="1:2" s="209" customFormat="1" ht="16.5" customHeight="1" x14ac:dyDescent="0.25">
      <c r="A2026" s="207"/>
      <c r="B2026" s="208"/>
    </row>
    <row r="2027" spans="1:2" s="209" customFormat="1" ht="16.5" customHeight="1" x14ac:dyDescent="0.25">
      <c r="A2027" s="207"/>
      <c r="B2027" s="208"/>
    </row>
    <row r="2028" spans="1:2" s="209" customFormat="1" ht="16.5" customHeight="1" x14ac:dyDescent="0.25">
      <c r="A2028" s="207"/>
      <c r="B2028" s="208"/>
    </row>
    <row r="2029" spans="1:2" s="209" customFormat="1" ht="16.5" customHeight="1" x14ac:dyDescent="0.25">
      <c r="A2029" s="207"/>
      <c r="B2029" s="208"/>
    </row>
    <row r="2030" spans="1:2" s="209" customFormat="1" ht="16.5" customHeight="1" x14ac:dyDescent="0.25">
      <c r="A2030" s="207"/>
      <c r="B2030" s="208"/>
    </row>
    <row r="2031" spans="1:2" s="209" customFormat="1" ht="16.5" customHeight="1" x14ac:dyDescent="0.25">
      <c r="A2031" s="207"/>
      <c r="B2031" s="208"/>
    </row>
    <row r="2032" spans="1:2" s="209" customFormat="1" ht="16.5" customHeight="1" x14ac:dyDescent="0.25">
      <c r="A2032" s="207"/>
      <c r="B2032" s="208"/>
    </row>
    <row r="2033" spans="1:2" s="209" customFormat="1" ht="16.5" customHeight="1" x14ac:dyDescent="0.25">
      <c r="A2033" s="207"/>
      <c r="B2033" s="208"/>
    </row>
    <row r="2034" spans="1:2" s="209" customFormat="1" ht="16.5" customHeight="1" x14ac:dyDescent="0.25">
      <c r="A2034" s="207"/>
      <c r="B2034" s="208"/>
    </row>
    <row r="2035" spans="1:2" s="209" customFormat="1" ht="16.5" customHeight="1" x14ac:dyDescent="0.25">
      <c r="A2035" s="207"/>
      <c r="B2035" s="208"/>
    </row>
    <row r="2036" spans="1:2" s="209" customFormat="1" ht="16.5" customHeight="1" x14ac:dyDescent="0.25">
      <c r="A2036" s="207"/>
      <c r="B2036" s="208"/>
    </row>
    <row r="2037" spans="1:2" s="209" customFormat="1" ht="16.5" customHeight="1" x14ac:dyDescent="0.25">
      <c r="A2037" s="207"/>
      <c r="B2037" s="208"/>
    </row>
    <row r="2038" spans="1:2" s="209" customFormat="1" ht="16.5" customHeight="1" x14ac:dyDescent="0.25">
      <c r="A2038" s="207"/>
      <c r="B2038" s="208"/>
    </row>
    <row r="2039" spans="1:2" s="209" customFormat="1" ht="16.5" customHeight="1" x14ac:dyDescent="0.25">
      <c r="A2039" s="207"/>
      <c r="B2039" s="208"/>
    </row>
    <row r="2040" spans="1:2" s="209" customFormat="1" ht="16.5" customHeight="1" x14ac:dyDescent="0.25">
      <c r="A2040" s="207"/>
      <c r="B2040" s="208"/>
    </row>
    <row r="2041" spans="1:2" s="209" customFormat="1" ht="16.5" customHeight="1" x14ac:dyDescent="0.25">
      <c r="A2041" s="207"/>
      <c r="B2041" s="208"/>
    </row>
    <row r="2042" spans="1:2" s="209" customFormat="1" ht="16.5" customHeight="1" x14ac:dyDescent="0.25">
      <c r="A2042" s="207"/>
      <c r="B2042" s="208"/>
    </row>
    <row r="2043" spans="1:2" s="209" customFormat="1" ht="16.5" customHeight="1" x14ac:dyDescent="0.25">
      <c r="A2043" s="207"/>
      <c r="B2043" s="208"/>
    </row>
    <row r="2044" spans="1:2" s="209" customFormat="1" ht="16.5" customHeight="1" x14ac:dyDescent="0.25">
      <c r="A2044" s="207"/>
      <c r="B2044" s="208"/>
    </row>
    <row r="2045" spans="1:2" s="209" customFormat="1" ht="16.5" customHeight="1" x14ac:dyDescent="0.25">
      <c r="A2045" s="207"/>
      <c r="B2045" s="208"/>
    </row>
    <row r="2046" spans="1:2" s="209" customFormat="1" ht="16.5" customHeight="1" x14ac:dyDescent="0.25">
      <c r="A2046" s="207"/>
      <c r="B2046" s="208"/>
    </row>
    <row r="2047" spans="1:2" s="209" customFormat="1" ht="16.5" customHeight="1" x14ac:dyDescent="0.25">
      <c r="A2047" s="207"/>
      <c r="B2047" s="208"/>
    </row>
    <row r="2048" spans="1:2" s="209" customFormat="1" ht="16.5" customHeight="1" x14ac:dyDescent="0.25">
      <c r="A2048" s="207"/>
      <c r="B2048" s="208"/>
    </row>
    <row r="2049" spans="1:2" s="209" customFormat="1" ht="16.5" customHeight="1" x14ac:dyDescent="0.25">
      <c r="A2049" s="207"/>
      <c r="B2049" s="208"/>
    </row>
    <row r="2050" spans="1:2" s="209" customFormat="1" ht="16.5" customHeight="1" x14ac:dyDescent="0.25">
      <c r="A2050" s="207"/>
      <c r="B2050" s="208"/>
    </row>
    <row r="2051" spans="1:2" s="209" customFormat="1" ht="16.5" customHeight="1" x14ac:dyDescent="0.25">
      <c r="A2051" s="207"/>
      <c r="B2051" s="208"/>
    </row>
    <row r="2052" spans="1:2" s="209" customFormat="1" ht="16.5" customHeight="1" x14ac:dyDescent="0.25">
      <c r="A2052" s="207"/>
      <c r="B2052" s="208"/>
    </row>
    <row r="2053" spans="1:2" s="209" customFormat="1" ht="16.5" customHeight="1" x14ac:dyDescent="0.25">
      <c r="A2053" s="207"/>
      <c r="B2053" s="208"/>
    </row>
    <row r="2054" spans="1:2" s="209" customFormat="1" ht="16.5" customHeight="1" x14ac:dyDescent="0.25">
      <c r="A2054" s="207"/>
      <c r="B2054" s="208"/>
    </row>
    <row r="2055" spans="1:2" s="209" customFormat="1" ht="16.5" customHeight="1" x14ac:dyDescent="0.25">
      <c r="A2055" s="207"/>
      <c r="B2055" s="208"/>
    </row>
    <row r="2056" spans="1:2" s="209" customFormat="1" ht="16.5" customHeight="1" x14ac:dyDescent="0.25">
      <c r="A2056" s="207"/>
      <c r="B2056" s="208"/>
    </row>
    <row r="2057" spans="1:2" s="209" customFormat="1" ht="16.5" customHeight="1" x14ac:dyDescent="0.25">
      <c r="A2057" s="207"/>
      <c r="B2057" s="208"/>
    </row>
    <row r="2058" spans="1:2" s="209" customFormat="1" ht="16.5" customHeight="1" x14ac:dyDescent="0.25">
      <c r="A2058" s="207"/>
      <c r="B2058" s="208"/>
    </row>
    <row r="2059" spans="1:2" s="209" customFormat="1" ht="16.5" customHeight="1" x14ac:dyDescent="0.25">
      <c r="A2059" s="207"/>
      <c r="B2059" s="208"/>
    </row>
    <row r="2060" spans="1:2" s="209" customFormat="1" ht="16.5" customHeight="1" x14ac:dyDescent="0.25">
      <c r="A2060" s="207"/>
      <c r="B2060" s="208"/>
    </row>
    <row r="2061" spans="1:2" s="209" customFormat="1" ht="16.5" customHeight="1" x14ac:dyDescent="0.25">
      <c r="A2061" s="207"/>
      <c r="B2061" s="208"/>
    </row>
    <row r="2062" spans="1:2" s="209" customFormat="1" ht="16.5" customHeight="1" x14ac:dyDescent="0.25">
      <c r="A2062" s="207"/>
      <c r="B2062" s="208"/>
    </row>
    <row r="2063" spans="1:2" s="209" customFormat="1" ht="16.5" customHeight="1" x14ac:dyDescent="0.25">
      <c r="A2063" s="207"/>
      <c r="B2063" s="208"/>
    </row>
    <row r="2064" spans="1:2" s="209" customFormat="1" ht="16.5" customHeight="1" x14ac:dyDescent="0.25">
      <c r="A2064" s="207"/>
      <c r="B2064" s="208"/>
    </row>
    <row r="2065" spans="1:2" s="209" customFormat="1" ht="16.5" customHeight="1" x14ac:dyDescent="0.25">
      <c r="A2065" s="207"/>
      <c r="B2065" s="208"/>
    </row>
    <row r="2066" spans="1:2" s="209" customFormat="1" ht="16.5" customHeight="1" x14ac:dyDescent="0.25">
      <c r="A2066" s="207"/>
      <c r="B2066" s="208"/>
    </row>
    <row r="2067" spans="1:2" s="209" customFormat="1" ht="16.5" customHeight="1" x14ac:dyDescent="0.25">
      <c r="A2067" s="207"/>
      <c r="B2067" s="208"/>
    </row>
    <row r="2068" spans="1:2" s="209" customFormat="1" ht="16.5" customHeight="1" x14ac:dyDescent="0.25">
      <c r="A2068" s="207"/>
      <c r="B2068" s="208"/>
    </row>
    <row r="2069" spans="1:2" s="209" customFormat="1" ht="16.5" customHeight="1" x14ac:dyDescent="0.25">
      <c r="A2069" s="207"/>
      <c r="B2069" s="208"/>
    </row>
    <row r="2070" spans="1:2" s="209" customFormat="1" ht="16.5" customHeight="1" x14ac:dyDescent="0.25">
      <c r="A2070" s="207"/>
      <c r="B2070" s="208"/>
    </row>
    <row r="2071" spans="1:2" s="209" customFormat="1" ht="16.5" customHeight="1" x14ac:dyDescent="0.25">
      <c r="A2071" s="207"/>
      <c r="B2071" s="208"/>
    </row>
    <row r="2072" spans="1:2" s="213" customFormat="1" ht="16.5" customHeight="1" x14ac:dyDescent="0.25">
      <c r="A2072" s="211"/>
      <c r="B2072" s="212"/>
    </row>
    <row r="2073" spans="1:2" s="209" customFormat="1" ht="16.5" customHeight="1" x14ac:dyDescent="0.25">
      <c r="A2073" s="207"/>
      <c r="B2073" s="208"/>
    </row>
    <row r="2074" spans="1:2" s="209" customFormat="1" ht="16.5" customHeight="1" x14ac:dyDescent="0.25">
      <c r="A2074" s="207"/>
      <c r="B2074" s="208"/>
    </row>
    <row r="2075" spans="1:2" s="209" customFormat="1" ht="16.5" customHeight="1" x14ac:dyDescent="0.25">
      <c r="A2075" s="207"/>
      <c r="B2075" s="208"/>
    </row>
    <row r="2076" spans="1:2" s="209" customFormat="1" ht="16.5" customHeight="1" x14ac:dyDescent="0.25">
      <c r="A2076" s="207"/>
      <c r="B2076" s="208"/>
    </row>
    <row r="2077" spans="1:2" s="209" customFormat="1" ht="16.5" customHeight="1" x14ac:dyDescent="0.25">
      <c r="A2077" s="207"/>
      <c r="B2077" s="208"/>
    </row>
    <row r="2078" spans="1:2" s="209" customFormat="1" ht="16.5" customHeight="1" x14ac:dyDescent="0.25">
      <c r="A2078" s="207"/>
      <c r="B2078" s="208"/>
    </row>
    <row r="2079" spans="1:2" s="209" customFormat="1" ht="16.5" customHeight="1" x14ac:dyDescent="0.25">
      <c r="A2079" s="207"/>
      <c r="B2079" s="208"/>
    </row>
    <row r="2080" spans="1:2" s="209" customFormat="1" ht="16.5" customHeight="1" x14ac:dyDescent="0.25">
      <c r="A2080" s="207"/>
      <c r="B2080" s="208"/>
    </row>
    <row r="2081" spans="1:2" s="213" customFormat="1" ht="16.5" customHeight="1" x14ac:dyDescent="0.25">
      <c r="A2081" s="211"/>
      <c r="B2081" s="212"/>
    </row>
    <row r="2082" spans="1:2" s="209" customFormat="1" ht="16.5" customHeight="1" x14ac:dyDescent="0.25">
      <c r="A2082" s="207"/>
      <c r="B2082" s="208"/>
    </row>
    <row r="2083" spans="1:2" s="209" customFormat="1" ht="16.5" customHeight="1" x14ac:dyDescent="0.25">
      <c r="A2083" s="207"/>
      <c r="B2083" s="208"/>
    </row>
    <row r="2084" spans="1:2" s="209" customFormat="1" ht="16.5" customHeight="1" x14ac:dyDescent="0.25">
      <c r="A2084" s="207"/>
      <c r="B2084" s="208"/>
    </row>
    <row r="2085" spans="1:2" s="209" customFormat="1" ht="16.5" customHeight="1" x14ac:dyDescent="0.25">
      <c r="A2085" s="207"/>
      <c r="B2085" s="208"/>
    </row>
    <row r="2086" spans="1:2" s="209" customFormat="1" ht="16.5" customHeight="1" x14ac:dyDescent="0.25">
      <c r="A2086" s="207"/>
      <c r="B2086" s="208"/>
    </row>
    <row r="2087" spans="1:2" s="213" customFormat="1" ht="16.5" customHeight="1" x14ac:dyDescent="0.25">
      <c r="A2087" s="211"/>
      <c r="B2087" s="212"/>
    </row>
    <row r="2088" spans="1:2" s="209" customFormat="1" ht="16.5" customHeight="1" x14ac:dyDescent="0.25">
      <c r="A2088" s="207"/>
      <c r="B2088" s="208"/>
    </row>
    <row r="2089" spans="1:2" s="216" customFormat="1" ht="16.5" customHeight="1" x14ac:dyDescent="0.25">
      <c r="A2089" s="214"/>
      <c r="B2089" s="215"/>
    </row>
    <row r="2090" spans="1:2" s="209" customFormat="1" ht="16.5" customHeight="1" x14ac:dyDescent="0.25">
      <c r="A2090" s="207"/>
      <c r="B2090" s="208"/>
    </row>
    <row r="2091" spans="1:2" s="209" customFormat="1" ht="16.5" customHeight="1" x14ac:dyDescent="0.25">
      <c r="A2091" s="207"/>
      <c r="B2091" s="208"/>
    </row>
    <row r="2092" spans="1:2" s="209" customFormat="1" ht="16.5" customHeight="1" x14ac:dyDescent="0.25">
      <c r="A2092" s="207"/>
      <c r="B2092" s="208"/>
    </row>
    <row r="2093" spans="1:2" s="209" customFormat="1" ht="16.5" customHeight="1" x14ac:dyDescent="0.25">
      <c r="A2093" s="207"/>
      <c r="B2093" s="208"/>
    </row>
    <row r="2094" spans="1:2" s="209" customFormat="1" ht="16.5" customHeight="1" x14ac:dyDescent="0.25">
      <c r="A2094" s="207"/>
      <c r="B2094" s="208"/>
    </row>
    <row r="2095" spans="1:2" s="209" customFormat="1" ht="16.5" customHeight="1" x14ac:dyDescent="0.25">
      <c r="A2095" s="207"/>
      <c r="B2095" s="208"/>
    </row>
    <row r="2096" spans="1:2" s="209" customFormat="1" ht="16.5" customHeight="1" x14ac:dyDescent="0.25">
      <c r="A2096" s="207"/>
      <c r="B2096" s="208"/>
    </row>
    <row r="2097" spans="1:2" s="209" customFormat="1" ht="16.5" customHeight="1" x14ac:dyDescent="0.25">
      <c r="A2097" s="207"/>
      <c r="B2097" s="208"/>
    </row>
    <row r="2098" spans="1:2" s="213" customFormat="1" ht="16.5" customHeight="1" x14ac:dyDescent="0.25">
      <c r="A2098" s="211"/>
      <c r="B2098" s="212"/>
    </row>
    <row r="2099" spans="1:2" s="209" customFormat="1" ht="16.5" customHeight="1" x14ac:dyDescent="0.25">
      <c r="A2099" s="207"/>
      <c r="B2099" s="208"/>
    </row>
    <row r="2100" spans="1:2" s="209" customFormat="1" ht="16.5" customHeight="1" x14ac:dyDescent="0.25">
      <c r="A2100" s="207"/>
      <c r="B2100" s="208"/>
    </row>
    <row r="2101" spans="1:2" s="209" customFormat="1" ht="16.5" customHeight="1" x14ac:dyDescent="0.25">
      <c r="A2101" s="207"/>
      <c r="B2101" s="208"/>
    </row>
    <row r="2102" spans="1:2" s="209" customFormat="1" ht="16.5" customHeight="1" x14ac:dyDescent="0.25">
      <c r="A2102" s="207"/>
      <c r="B2102" s="208"/>
    </row>
    <row r="2103" spans="1:2" s="209" customFormat="1" ht="16.5" customHeight="1" x14ac:dyDescent="0.25">
      <c r="A2103" s="207"/>
      <c r="B2103" s="208"/>
    </row>
    <row r="2104" spans="1:2" s="209" customFormat="1" ht="16.5" customHeight="1" x14ac:dyDescent="0.25">
      <c r="A2104" s="207"/>
      <c r="B2104" s="208"/>
    </row>
    <row r="2105" spans="1:2" s="209" customFormat="1" ht="16.5" customHeight="1" x14ac:dyDescent="0.25">
      <c r="A2105" s="207"/>
      <c r="B2105" s="208"/>
    </row>
    <row r="2106" spans="1:2" s="213" customFormat="1" ht="16.5" customHeight="1" x14ac:dyDescent="0.25">
      <c r="A2106" s="211"/>
      <c r="B2106" s="212"/>
    </row>
    <row r="2107" spans="1:2" s="209" customFormat="1" ht="16.5" customHeight="1" x14ac:dyDescent="0.25">
      <c r="A2107" s="207"/>
      <c r="B2107" s="208"/>
    </row>
    <row r="2108" spans="1:2" s="209" customFormat="1" ht="16.5" customHeight="1" x14ac:dyDescent="0.25">
      <c r="A2108" s="207"/>
      <c r="B2108" s="208"/>
    </row>
    <row r="2109" spans="1:2" s="216" customFormat="1" ht="16.5" customHeight="1" x14ac:dyDescent="0.25">
      <c r="A2109" s="214"/>
      <c r="B2109" s="215"/>
    </row>
    <row r="2110" spans="1:2" s="209" customFormat="1" ht="16.5" customHeight="1" x14ac:dyDescent="0.25">
      <c r="A2110" s="207"/>
      <c r="B2110" s="208"/>
    </row>
    <row r="2111" spans="1:2" s="209" customFormat="1" ht="16.5" customHeight="1" x14ac:dyDescent="0.25">
      <c r="A2111" s="207"/>
      <c r="B2111" s="208"/>
    </row>
    <row r="2112" spans="1:2" s="209" customFormat="1" ht="16.5" customHeight="1" x14ac:dyDescent="0.25">
      <c r="A2112" s="207"/>
      <c r="B2112" s="208"/>
    </row>
    <row r="2113" spans="1:2" s="209" customFormat="1" ht="16.5" customHeight="1" x14ac:dyDescent="0.25">
      <c r="A2113" s="207"/>
      <c r="B2113" s="208"/>
    </row>
    <row r="2114" spans="1:2" s="209" customFormat="1" ht="16.5" customHeight="1" x14ac:dyDescent="0.25">
      <c r="A2114" s="207"/>
      <c r="B2114" s="208"/>
    </row>
    <row r="2115" spans="1:2" s="209" customFormat="1" ht="16.5" customHeight="1" x14ac:dyDescent="0.25">
      <c r="A2115" s="207"/>
      <c r="B2115" s="208"/>
    </row>
    <row r="2116" spans="1:2" s="209" customFormat="1" ht="16.5" customHeight="1" x14ac:dyDescent="0.25">
      <c r="A2116" s="207"/>
      <c r="B2116" s="208"/>
    </row>
    <row r="2117" spans="1:2" s="213" customFormat="1" ht="16.5" customHeight="1" x14ac:dyDescent="0.25">
      <c r="A2117" s="211"/>
      <c r="B2117" s="212"/>
    </row>
    <row r="2118" spans="1:2" s="209" customFormat="1" ht="16.5" customHeight="1" x14ac:dyDescent="0.25">
      <c r="A2118" s="207"/>
      <c r="B2118" s="208"/>
    </row>
    <row r="2119" spans="1:2" s="209" customFormat="1" ht="16.5" customHeight="1" x14ac:dyDescent="0.25">
      <c r="A2119" s="207"/>
      <c r="B2119" s="208"/>
    </row>
    <row r="2120" spans="1:2" s="209" customFormat="1" ht="16.5" customHeight="1" x14ac:dyDescent="0.25">
      <c r="A2120" s="207"/>
      <c r="B2120" s="208"/>
    </row>
    <row r="2121" spans="1:2" s="209" customFormat="1" ht="16.5" customHeight="1" x14ac:dyDescent="0.25">
      <c r="A2121" s="207"/>
      <c r="B2121" s="208"/>
    </row>
    <row r="2122" spans="1:2" s="209" customFormat="1" ht="16.5" customHeight="1" x14ac:dyDescent="0.25">
      <c r="A2122" s="207"/>
      <c r="B2122" s="208"/>
    </row>
    <row r="2123" spans="1:2" s="209" customFormat="1" ht="16.5" customHeight="1" x14ac:dyDescent="0.25">
      <c r="A2123" s="207"/>
      <c r="B2123" s="208"/>
    </row>
    <row r="2124" spans="1:2" s="209" customFormat="1" ht="16.5" customHeight="1" x14ac:dyDescent="0.25">
      <c r="A2124" s="207"/>
      <c r="B2124" s="208"/>
    </row>
    <row r="2125" spans="1:2" s="209" customFormat="1" ht="16.5" customHeight="1" x14ac:dyDescent="0.25">
      <c r="A2125" s="207"/>
      <c r="B2125" s="208"/>
    </row>
    <row r="2126" spans="1:2" s="213" customFormat="1" ht="16.5" customHeight="1" x14ac:dyDescent="0.25">
      <c r="A2126" s="211"/>
      <c r="B2126" s="212"/>
    </row>
    <row r="2127" spans="1:2" s="209" customFormat="1" ht="16.5" customHeight="1" x14ac:dyDescent="0.25">
      <c r="A2127" s="207"/>
      <c r="B2127" s="208"/>
    </row>
    <row r="2128" spans="1:2" s="209" customFormat="1" ht="16.5" customHeight="1" x14ac:dyDescent="0.25">
      <c r="A2128" s="207"/>
      <c r="B2128" s="208"/>
    </row>
    <row r="2129" spans="1:2" s="209" customFormat="1" ht="16.5" customHeight="1" x14ac:dyDescent="0.25">
      <c r="A2129" s="207"/>
      <c r="B2129" s="208"/>
    </row>
    <row r="2130" spans="1:2" s="209" customFormat="1" ht="16.5" customHeight="1" x14ac:dyDescent="0.25">
      <c r="A2130" s="207"/>
      <c r="B2130" s="208"/>
    </row>
    <row r="2131" spans="1:2" s="209" customFormat="1" ht="16.5" customHeight="1" x14ac:dyDescent="0.25">
      <c r="A2131" s="207"/>
      <c r="B2131" s="208"/>
    </row>
    <row r="2132" spans="1:2" s="209" customFormat="1" ht="16.5" customHeight="1" x14ac:dyDescent="0.25">
      <c r="A2132" s="207"/>
      <c r="B2132" s="208"/>
    </row>
    <row r="2133" spans="1:2" s="209" customFormat="1" ht="16.5" customHeight="1" x14ac:dyDescent="0.25">
      <c r="A2133" s="207"/>
      <c r="B2133" s="208"/>
    </row>
    <row r="2134" spans="1:2" s="213" customFormat="1" ht="16.5" customHeight="1" x14ac:dyDescent="0.25">
      <c r="A2134" s="211"/>
      <c r="B2134" s="212"/>
    </row>
    <row r="2135" spans="1:2" s="209" customFormat="1" ht="16.5" customHeight="1" x14ac:dyDescent="0.25">
      <c r="A2135" s="207"/>
      <c r="B2135" s="208"/>
    </row>
    <row r="2136" spans="1:2" s="209" customFormat="1" ht="16.5" customHeight="1" x14ac:dyDescent="0.25">
      <c r="A2136" s="207"/>
      <c r="B2136" s="208"/>
    </row>
    <row r="2137" spans="1:2" s="209" customFormat="1" ht="16.5" customHeight="1" x14ac:dyDescent="0.25">
      <c r="A2137" s="207"/>
      <c r="B2137" s="208"/>
    </row>
    <row r="2138" spans="1:2" s="209" customFormat="1" ht="16.5" customHeight="1" x14ac:dyDescent="0.25">
      <c r="A2138" s="207"/>
      <c r="B2138" s="208"/>
    </row>
    <row r="2139" spans="1:2" s="209" customFormat="1" ht="16.5" customHeight="1" x14ac:dyDescent="0.25">
      <c r="A2139" s="207"/>
      <c r="B2139" s="208"/>
    </row>
    <row r="2140" spans="1:2" s="209" customFormat="1" ht="16.5" customHeight="1" x14ac:dyDescent="0.25">
      <c r="A2140" s="207"/>
      <c r="B2140" s="208"/>
    </row>
    <row r="2141" spans="1:2" s="209" customFormat="1" ht="16.5" customHeight="1" x14ac:dyDescent="0.25">
      <c r="A2141" s="207"/>
      <c r="B2141" s="208"/>
    </row>
    <row r="2142" spans="1:2" s="209" customFormat="1" ht="16.5" customHeight="1" x14ac:dyDescent="0.25">
      <c r="A2142" s="207"/>
      <c r="B2142" s="208"/>
    </row>
    <row r="2143" spans="1:2" s="213" customFormat="1" ht="16.5" customHeight="1" x14ac:dyDescent="0.25">
      <c r="A2143" s="211"/>
      <c r="B2143" s="212"/>
    </row>
    <row r="2144" spans="1:2" s="209" customFormat="1" ht="16.5" customHeight="1" x14ac:dyDescent="0.25">
      <c r="A2144" s="207"/>
      <c r="B2144" s="208"/>
    </row>
    <row r="2145" spans="1:2" s="209" customFormat="1" ht="16.5" customHeight="1" x14ac:dyDescent="0.25">
      <c r="A2145" s="207"/>
      <c r="B2145" s="208"/>
    </row>
    <row r="2146" spans="1:2" s="209" customFormat="1" ht="16.5" customHeight="1" x14ac:dyDescent="0.25">
      <c r="A2146" s="207"/>
      <c r="B2146" s="208"/>
    </row>
    <row r="2147" spans="1:2" s="209" customFormat="1" ht="16.5" customHeight="1" x14ac:dyDescent="0.25">
      <c r="A2147" s="207"/>
      <c r="B2147" s="208"/>
    </row>
    <row r="2148" spans="1:2" s="209" customFormat="1" ht="16.5" customHeight="1" x14ac:dyDescent="0.25">
      <c r="A2148" s="207"/>
      <c r="B2148" s="208"/>
    </row>
    <row r="2149" spans="1:2" s="209" customFormat="1" ht="16.5" customHeight="1" x14ac:dyDescent="0.25">
      <c r="A2149" s="207"/>
      <c r="B2149" s="208"/>
    </row>
    <row r="2150" spans="1:2" s="209" customFormat="1" ht="16.5" customHeight="1" x14ac:dyDescent="0.25">
      <c r="A2150" s="207"/>
      <c r="B2150" s="208"/>
    </row>
    <row r="2151" spans="1:2" s="209" customFormat="1" ht="16.5" customHeight="1" x14ac:dyDescent="0.25">
      <c r="A2151" s="207"/>
      <c r="B2151" s="208"/>
    </row>
    <row r="2152" spans="1:2" s="209" customFormat="1" ht="16.5" customHeight="1" x14ac:dyDescent="0.25">
      <c r="A2152" s="207"/>
      <c r="B2152" s="208"/>
    </row>
    <row r="2153" spans="1:2" s="209" customFormat="1" ht="16.5" customHeight="1" x14ac:dyDescent="0.25">
      <c r="A2153" s="207"/>
      <c r="B2153" s="208"/>
    </row>
    <row r="2154" spans="1:2" s="209" customFormat="1" ht="16.5" customHeight="1" x14ac:dyDescent="0.25">
      <c r="A2154" s="207"/>
      <c r="B2154" s="208"/>
    </row>
    <row r="2155" spans="1:2" s="209" customFormat="1" ht="16.5" customHeight="1" x14ac:dyDescent="0.25">
      <c r="A2155" s="207"/>
      <c r="B2155" s="208"/>
    </row>
    <row r="2156" spans="1:2" s="209" customFormat="1" ht="16.5" customHeight="1" x14ac:dyDescent="0.25">
      <c r="A2156" s="207"/>
      <c r="B2156" s="208"/>
    </row>
    <row r="2157" spans="1:2" s="209" customFormat="1" ht="16.5" customHeight="1" x14ac:dyDescent="0.25">
      <c r="A2157" s="207"/>
      <c r="B2157" s="208"/>
    </row>
    <row r="2158" spans="1:2" s="209" customFormat="1" ht="16.5" customHeight="1" x14ac:dyDescent="0.25">
      <c r="A2158" s="207"/>
      <c r="B2158" s="208"/>
    </row>
    <row r="2159" spans="1:2" s="209" customFormat="1" ht="16.5" customHeight="1" x14ac:dyDescent="0.25">
      <c r="A2159" s="207"/>
      <c r="B2159" s="208"/>
    </row>
    <row r="2160" spans="1:2" s="209" customFormat="1" ht="16.5" customHeight="1" x14ac:dyDescent="0.25">
      <c r="A2160" s="207"/>
      <c r="B2160" s="208"/>
    </row>
    <row r="2161" spans="1:2" s="209" customFormat="1" ht="16.5" customHeight="1" x14ac:dyDescent="0.25">
      <c r="A2161" s="207"/>
      <c r="B2161" s="208"/>
    </row>
    <row r="2162" spans="1:2" s="209" customFormat="1" ht="16.5" customHeight="1" x14ac:dyDescent="0.25">
      <c r="A2162" s="207"/>
      <c r="B2162" s="208"/>
    </row>
    <row r="2163" spans="1:2" s="209" customFormat="1" ht="16.5" customHeight="1" x14ac:dyDescent="0.25">
      <c r="A2163" s="207"/>
      <c r="B2163" s="208"/>
    </row>
    <row r="2164" spans="1:2" s="209" customFormat="1" ht="16.5" customHeight="1" x14ac:dyDescent="0.25">
      <c r="A2164" s="207"/>
      <c r="B2164" s="208"/>
    </row>
    <row r="2165" spans="1:2" s="209" customFormat="1" ht="16.5" customHeight="1" x14ac:dyDescent="0.25">
      <c r="A2165" s="207"/>
      <c r="B2165" s="208"/>
    </row>
    <row r="2166" spans="1:2" s="209" customFormat="1" ht="16.5" customHeight="1" x14ac:dyDescent="0.25">
      <c r="A2166" s="207"/>
      <c r="B2166" s="208"/>
    </row>
    <row r="2167" spans="1:2" s="209" customFormat="1" ht="16.5" customHeight="1" x14ac:dyDescent="0.25">
      <c r="A2167" s="207"/>
      <c r="B2167" s="208"/>
    </row>
    <row r="2168" spans="1:2" s="209" customFormat="1" ht="16.5" customHeight="1" x14ac:dyDescent="0.25">
      <c r="A2168" s="207"/>
      <c r="B2168" s="208"/>
    </row>
    <row r="2169" spans="1:2" s="209" customFormat="1" ht="16.5" customHeight="1" x14ac:dyDescent="0.25">
      <c r="A2169" s="207"/>
      <c r="B2169" s="208"/>
    </row>
    <row r="2170" spans="1:2" s="209" customFormat="1" ht="16.5" customHeight="1" x14ac:dyDescent="0.25">
      <c r="A2170" s="207"/>
      <c r="B2170" s="208"/>
    </row>
    <row r="2171" spans="1:2" s="209" customFormat="1" ht="16.5" customHeight="1" x14ac:dyDescent="0.25">
      <c r="A2171" s="207"/>
      <c r="B2171" s="208"/>
    </row>
    <row r="2172" spans="1:2" s="209" customFormat="1" ht="16.5" customHeight="1" x14ac:dyDescent="0.25">
      <c r="A2172" s="207"/>
      <c r="B2172" s="208"/>
    </row>
    <row r="2173" spans="1:2" s="209" customFormat="1" ht="16.5" customHeight="1" x14ac:dyDescent="0.25">
      <c r="A2173" s="207"/>
      <c r="B2173" s="208"/>
    </row>
    <row r="2174" spans="1:2" s="209" customFormat="1" ht="16.5" customHeight="1" x14ac:dyDescent="0.25">
      <c r="A2174" s="207"/>
      <c r="B2174" s="208"/>
    </row>
    <row r="2175" spans="1:2" s="209" customFormat="1" ht="16.5" customHeight="1" x14ac:dyDescent="0.25">
      <c r="A2175" s="207"/>
      <c r="B2175" s="208"/>
    </row>
    <row r="2176" spans="1:2" s="209" customFormat="1" ht="16.5" customHeight="1" x14ac:dyDescent="0.25">
      <c r="A2176" s="207"/>
      <c r="B2176" s="208"/>
    </row>
    <row r="2177" spans="1:2" s="209" customFormat="1" ht="16.5" customHeight="1" x14ac:dyDescent="0.25">
      <c r="A2177" s="207"/>
      <c r="B2177" s="208"/>
    </row>
    <row r="2178" spans="1:2" s="209" customFormat="1" ht="16.5" customHeight="1" x14ac:dyDescent="0.25">
      <c r="A2178" s="207"/>
      <c r="B2178" s="208"/>
    </row>
    <row r="2179" spans="1:2" s="209" customFormat="1" ht="16.5" customHeight="1" x14ac:dyDescent="0.25">
      <c r="A2179" s="207"/>
      <c r="B2179" s="208"/>
    </row>
    <row r="2180" spans="1:2" s="209" customFormat="1" ht="16.5" customHeight="1" x14ac:dyDescent="0.25">
      <c r="A2180" s="207"/>
      <c r="B2180" s="208"/>
    </row>
    <row r="2181" spans="1:2" s="209" customFormat="1" ht="16.5" customHeight="1" x14ac:dyDescent="0.25">
      <c r="A2181" s="207"/>
      <c r="B2181" s="208"/>
    </row>
    <row r="2182" spans="1:2" s="209" customFormat="1" ht="16.5" customHeight="1" x14ac:dyDescent="0.25">
      <c r="A2182" s="207"/>
      <c r="B2182" s="208"/>
    </row>
    <row r="2183" spans="1:2" s="209" customFormat="1" ht="16.5" customHeight="1" x14ac:dyDescent="0.25">
      <c r="A2183" s="207"/>
      <c r="B2183" s="208"/>
    </row>
    <row r="2184" spans="1:2" s="209" customFormat="1" ht="16.5" customHeight="1" x14ac:dyDescent="0.25">
      <c r="A2184" s="207"/>
      <c r="B2184" s="208"/>
    </row>
    <row r="2185" spans="1:2" s="209" customFormat="1" ht="16.5" customHeight="1" x14ac:dyDescent="0.25">
      <c r="A2185" s="207"/>
      <c r="B2185" s="208"/>
    </row>
    <row r="2186" spans="1:2" s="209" customFormat="1" ht="16.5" customHeight="1" x14ac:dyDescent="0.25">
      <c r="A2186" s="207"/>
      <c r="B2186" s="208"/>
    </row>
    <row r="2187" spans="1:2" s="209" customFormat="1" ht="16.5" customHeight="1" x14ac:dyDescent="0.25">
      <c r="A2187" s="207"/>
      <c r="B2187" s="208"/>
    </row>
    <row r="2188" spans="1:2" s="209" customFormat="1" ht="16.5" customHeight="1" x14ac:dyDescent="0.25">
      <c r="A2188" s="207"/>
      <c r="B2188" s="208"/>
    </row>
    <row r="2189" spans="1:2" s="209" customFormat="1" ht="16.5" customHeight="1" x14ac:dyDescent="0.25">
      <c r="A2189" s="207"/>
      <c r="B2189" s="208"/>
    </row>
    <row r="2190" spans="1:2" s="209" customFormat="1" ht="16.5" customHeight="1" x14ac:dyDescent="0.25">
      <c r="A2190" s="207"/>
      <c r="B2190" s="208"/>
    </row>
    <row r="2191" spans="1:2" s="209" customFormat="1" ht="16.5" customHeight="1" x14ac:dyDescent="0.25">
      <c r="A2191" s="207"/>
      <c r="B2191" s="208"/>
    </row>
    <row r="2192" spans="1:2" s="209" customFormat="1" ht="16.5" customHeight="1" x14ac:dyDescent="0.25">
      <c r="A2192" s="207"/>
      <c r="B2192" s="208"/>
    </row>
    <row r="2193" spans="1:2" s="209" customFormat="1" ht="16.5" customHeight="1" x14ac:dyDescent="0.25">
      <c r="A2193" s="207"/>
      <c r="B2193" s="208"/>
    </row>
    <row r="2194" spans="1:2" s="209" customFormat="1" ht="16.5" customHeight="1" x14ac:dyDescent="0.25">
      <c r="A2194" s="207"/>
      <c r="B2194" s="208"/>
    </row>
    <row r="2195" spans="1:2" s="209" customFormat="1" ht="16.5" customHeight="1" x14ac:dyDescent="0.25">
      <c r="A2195" s="207"/>
      <c r="B2195" s="208"/>
    </row>
    <row r="2196" spans="1:2" s="209" customFormat="1" ht="16.5" customHeight="1" x14ac:dyDescent="0.25">
      <c r="A2196" s="207"/>
      <c r="B2196" s="208"/>
    </row>
    <row r="2197" spans="1:2" s="209" customFormat="1" ht="16.5" customHeight="1" x14ac:dyDescent="0.25">
      <c r="A2197" s="207"/>
      <c r="B2197" s="208"/>
    </row>
    <row r="2198" spans="1:2" s="209" customFormat="1" ht="16.5" customHeight="1" x14ac:dyDescent="0.25">
      <c r="A2198" s="207"/>
      <c r="B2198" s="208"/>
    </row>
    <row r="2199" spans="1:2" s="209" customFormat="1" ht="16.5" customHeight="1" x14ac:dyDescent="0.25">
      <c r="A2199" s="207"/>
      <c r="B2199" s="208"/>
    </row>
    <row r="2200" spans="1:2" s="209" customFormat="1" ht="16.5" customHeight="1" x14ac:dyDescent="0.25">
      <c r="A2200" s="207"/>
      <c r="B2200" s="208"/>
    </row>
    <row r="2201" spans="1:2" s="209" customFormat="1" ht="16.5" customHeight="1" x14ac:dyDescent="0.25">
      <c r="A2201" s="207"/>
      <c r="B2201" s="208"/>
    </row>
    <row r="2202" spans="1:2" s="209" customFormat="1" ht="16.5" customHeight="1" x14ac:dyDescent="0.25">
      <c r="A2202" s="207"/>
      <c r="B2202" s="208"/>
    </row>
    <row r="2203" spans="1:2" s="209" customFormat="1" ht="16.5" customHeight="1" x14ac:dyDescent="0.25">
      <c r="A2203" s="207"/>
      <c r="B2203" s="208"/>
    </row>
    <row r="2204" spans="1:2" s="209" customFormat="1" ht="16.5" customHeight="1" x14ac:dyDescent="0.25">
      <c r="A2204" s="207"/>
      <c r="B2204" s="208"/>
    </row>
    <row r="2205" spans="1:2" s="209" customFormat="1" ht="16.5" customHeight="1" x14ac:dyDescent="0.25">
      <c r="A2205" s="207"/>
      <c r="B2205" s="208"/>
    </row>
    <row r="2206" spans="1:2" s="209" customFormat="1" ht="16.5" customHeight="1" x14ac:dyDescent="0.25">
      <c r="A2206" s="207"/>
      <c r="B2206" s="208"/>
    </row>
    <row r="2207" spans="1:2" s="209" customFormat="1" ht="16.5" customHeight="1" x14ac:dyDescent="0.25">
      <c r="A2207" s="207"/>
      <c r="B2207" s="208"/>
    </row>
    <row r="2208" spans="1:2" s="209" customFormat="1" ht="16.5" customHeight="1" x14ac:dyDescent="0.25">
      <c r="A2208" s="207"/>
      <c r="B2208" s="208"/>
    </row>
    <row r="2209" spans="1:2" s="209" customFormat="1" ht="16.5" customHeight="1" x14ac:dyDescent="0.25">
      <c r="A2209" s="207"/>
      <c r="B2209" s="208"/>
    </row>
    <row r="2210" spans="1:2" s="209" customFormat="1" ht="16.5" customHeight="1" x14ac:dyDescent="0.25">
      <c r="A2210" s="207"/>
      <c r="B2210" s="208"/>
    </row>
    <row r="2211" spans="1:2" s="209" customFormat="1" ht="16.5" customHeight="1" x14ac:dyDescent="0.25">
      <c r="A2211" s="207"/>
      <c r="B2211" s="208"/>
    </row>
    <row r="2212" spans="1:2" s="209" customFormat="1" ht="16.5" customHeight="1" x14ac:dyDescent="0.25">
      <c r="A2212" s="207"/>
      <c r="B2212" s="208"/>
    </row>
    <row r="2213" spans="1:2" s="209" customFormat="1" ht="16.5" customHeight="1" x14ac:dyDescent="0.25">
      <c r="A2213" s="207"/>
      <c r="B2213" s="208"/>
    </row>
    <row r="2214" spans="1:2" s="209" customFormat="1" ht="16.5" customHeight="1" x14ac:dyDescent="0.25">
      <c r="A2214" s="207"/>
      <c r="B2214" s="208"/>
    </row>
    <row r="2215" spans="1:2" s="209" customFormat="1" ht="16.5" customHeight="1" x14ac:dyDescent="0.25">
      <c r="A2215" s="207"/>
      <c r="B2215" s="208"/>
    </row>
    <row r="2216" spans="1:2" s="209" customFormat="1" ht="16.5" customHeight="1" x14ac:dyDescent="0.25">
      <c r="A2216" s="207"/>
      <c r="B2216" s="208"/>
    </row>
    <row r="2217" spans="1:2" s="209" customFormat="1" ht="16.5" customHeight="1" x14ac:dyDescent="0.25">
      <c r="A2217" s="207"/>
      <c r="B2217" s="208"/>
    </row>
    <row r="2218" spans="1:2" s="209" customFormat="1" ht="16.5" customHeight="1" x14ac:dyDescent="0.25">
      <c r="A2218" s="207"/>
      <c r="B2218" s="208"/>
    </row>
    <row r="2219" spans="1:2" s="209" customFormat="1" ht="16.5" customHeight="1" x14ac:dyDescent="0.25">
      <c r="A2219" s="207"/>
      <c r="B2219" s="208"/>
    </row>
    <row r="2220" spans="1:2" s="209" customFormat="1" ht="16.5" customHeight="1" x14ac:dyDescent="0.25">
      <c r="A2220" s="207"/>
      <c r="B2220" s="208"/>
    </row>
    <row r="2221" spans="1:2" s="209" customFormat="1" ht="16.5" customHeight="1" x14ac:dyDescent="0.25">
      <c r="A2221" s="207"/>
      <c r="B2221" s="208"/>
    </row>
    <row r="2222" spans="1:2" s="209" customFormat="1" ht="16.5" customHeight="1" x14ac:dyDescent="0.25">
      <c r="A2222" s="207"/>
      <c r="B2222" s="208"/>
    </row>
    <row r="2223" spans="1:2" s="209" customFormat="1" ht="16.5" customHeight="1" x14ac:dyDescent="0.25">
      <c r="A2223" s="207"/>
      <c r="B2223" s="208"/>
    </row>
    <row r="2224" spans="1:2" s="209" customFormat="1" ht="16.5" customHeight="1" x14ac:dyDescent="0.25">
      <c r="A2224" s="207"/>
      <c r="B2224" s="208"/>
    </row>
    <row r="2225" spans="1:24" s="209" customFormat="1" ht="16.5" customHeight="1" x14ac:dyDescent="0.25">
      <c r="A2225" s="207"/>
      <c r="B2225" s="208"/>
    </row>
    <row r="2226" spans="1:24" s="209" customFormat="1" ht="16.5" customHeight="1" x14ac:dyDescent="0.25">
      <c r="A2226" s="207"/>
      <c r="B2226" s="208"/>
    </row>
    <row r="2227" spans="1:24" s="209" customFormat="1" ht="16.5" customHeight="1" x14ac:dyDescent="0.25">
      <c r="A2227" s="207"/>
      <c r="B2227" s="208"/>
    </row>
    <row r="2228" spans="1:24" s="209" customFormat="1" ht="16.5" customHeight="1" x14ac:dyDescent="0.25">
      <c r="A2228" s="207"/>
      <c r="B2228" s="208"/>
    </row>
    <row r="2229" spans="1:24" s="209" customFormat="1" ht="16.5" customHeight="1" x14ac:dyDescent="0.25">
      <c r="A2229" s="207"/>
      <c r="B2229" s="208"/>
    </row>
    <row r="2230" spans="1:24" s="209" customFormat="1" ht="16.5" customHeight="1" x14ac:dyDescent="0.25">
      <c r="A2230" s="207"/>
      <c r="B2230" s="208"/>
    </row>
    <row r="2231" spans="1:24" s="209" customFormat="1" ht="16.5" customHeight="1" x14ac:dyDescent="0.25">
      <c r="A2231" s="207"/>
      <c r="B2231" s="208"/>
    </row>
    <row r="2232" spans="1:24" s="209" customFormat="1" ht="16.5" customHeight="1" x14ac:dyDescent="0.25">
      <c r="A2232" s="207"/>
      <c r="B2232" s="208"/>
    </row>
    <row r="2233" spans="1:24" s="209" customFormat="1" ht="16.5" customHeight="1" x14ac:dyDescent="0.25">
      <c r="A2233" s="207"/>
      <c r="B2233" s="208"/>
    </row>
    <row r="2234" spans="1:24" s="209" customFormat="1" ht="16.5" customHeight="1" x14ac:dyDescent="0.25">
      <c r="A2234" s="207"/>
      <c r="B2234" s="208"/>
    </row>
    <row r="2235" spans="1:24" s="209" customFormat="1" ht="16.5" customHeight="1" x14ac:dyDescent="0.25">
      <c r="A2235" s="207"/>
      <c r="B2235" s="208"/>
    </row>
    <row r="2236" spans="1:24" s="209" customFormat="1" ht="16.5" customHeight="1" x14ac:dyDescent="0.25">
      <c r="A2236" s="207"/>
      <c r="B2236" s="208"/>
    </row>
    <row r="2237" spans="1:24" s="209" customFormat="1" ht="16.5" customHeight="1" x14ac:dyDescent="0.25">
      <c r="A2237" s="207"/>
      <c r="B2237" s="208"/>
    </row>
    <row r="2238" spans="1:24" s="209" customFormat="1" ht="16.5" customHeight="1" x14ac:dyDescent="0.25">
      <c r="A2238" s="207"/>
      <c r="B2238" s="208"/>
    </row>
    <row r="2239" spans="1:24" s="209" customFormat="1" ht="15.75" customHeight="1" x14ac:dyDescent="0.25">
      <c r="A2239" s="207"/>
      <c r="B2239" s="208"/>
      <c r="X2239"/>
    </row>
    <row r="2240" spans="1:24" s="209" customFormat="1" ht="16.5" customHeight="1" x14ac:dyDescent="0.25">
      <c r="A2240" s="207"/>
      <c r="B2240" s="208"/>
      <c r="X2240"/>
    </row>
    <row r="2486" spans="1:2" s="198" customFormat="1" x14ac:dyDescent="0.25">
      <c r="A2486" s="196"/>
      <c r="B2486" s="197"/>
    </row>
    <row r="2493" spans="1:2" s="198" customFormat="1" x14ac:dyDescent="0.25">
      <c r="A2493" s="196"/>
      <c r="B2493" s="197"/>
    </row>
    <row r="2494" spans="1:2" s="201" customFormat="1" x14ac:dyDescent="0.25">
      <c r="A2494" s="199"/>
      <c r="B2494" s="200"/>
    </row>
    <row r="2495" spans="1:2" s="201" customFormat="1" x14ac:dyDescent="0.25">
      <c r="A2495" s="199"/>
      <c r="B2495" s="200"/>
    </row>
    <row r="2497" spans="1:2" s="201" customFormat="1" x14ac:dyDescent="0.25">
      <c r="A2497" s="199"/>
      <c r="B2497" s="200"/>
    </row>
    <row r="2509" spans="1:2" s="150" customFormat="1" x14ac:dyDescent="0.25">
      <c r="A2509" s="194"/>
      <c r="B2509" s="195"/>
    </row>
    <row r="2856" spans="15:15" x14ac:dyDescent="0.25">
      <c r="O2856" s="81"/>
    </row>
    <row r="3321" spans="17:17" x14ac:dyDescent="0.25">
      <c r="Q3321" s="81"/>
    </row>
    <row r="3391" spans="21:21" x14ac:dyDescent="0.25">
      <c r="U3391" s="81"/>
    </row>
    <row r="3774" spans="6:6" x14ac:dyDescent="0.25">
      <c r="F3774" s="150"/>
    </row>
    <row r="3775" spans="6:6" x14ac:dyDescent="0.25">
      <c r="F3775" s="150"/>
    </row>
    <row r="3776" spans="6:6" x14ac:dyDescent="0.25">
      <c r="F3776" s="150"/>
    </row>
    <row r="3777" spans="6:6" x14ac:dyDescent="0.25">
      <c r="F3777" s="150"/>
    </row>
    <row r="3778" spans="6:6" x14ac:dyDescent="0.25">
      <c r="F3778" s="150"/>
    </row>
    <row r="3786" spans="6:6" x14ac:dyDescent="0.25">
      <c r="F3786" s="150"/>
    </row>
    <row r="3787" spans="6:6" x14ac:dyDescent="0.25">
      <c r="F3787" s="150"/>
    </row>
    <row r="3788" spans="6:6" x14ac:dyDescent="0.25">
      <c r="F3788" s="150"/>
    </row>
    <row r="3789" spans="6:6" x14ac:dyDescent="0.25">
      <c r="F3789" s="150"/>
    </row>
    <row r="3790" spans="6:6" x14ac:dyDescent="0.25">
      <c r="F3790" s="150"/>
    </row>
    <row r="3802" spans="6:6" x14ac:dyDescent="0.25">
      <c r="F3802" s="150"/>
    </row>
    <row r="3803" spans="6:6" x14ac:dyDescent="0.25">
      <c r="F3803" s="150"/>
    </row>
    <row r="3804" spans="6:6" x14ac:dyDescent="0.25">
      <c r="F3804" s="150"/>
    </row>
    <row r="3812" spans="6:6" x14ac:dyDescent="0.25">
      <c r="F3812" s="150"/>
    </row>
    <row r="3813" spans="6:6" x14ac:dyDescent="0.25">
      <c r="F3813" s="150"/>
    </row>
    <row r="3908" spans="19:22" x14ac:dyDescent="0.25">
      <c r="S3908" s="81"/>
      <c r="T3908" s="81"/>
      <c r="U3908" s="81"/>
      <c r="V3908" s="8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Hoja7">
    <pageSetUpPr fitToPage="1"/>
  </sheetPr>
  <dimension ref="A1:AA76"/>
  <sheetViews>
    <sheetView view="pageBreakPreview" topLeftCell="A17" zoomScale="115" zoomScaleNormal="115" zoomScaleSheetLayoutView="115" workbookViewId="0">
      <selection activeCell="B36" sqref="B36:D36"/>
    </sheetView>
  </sheetViews>
  <sheetFormatPr baseColWidth="10" defaultRowHeight="15" x14ac:dyDescent="0.25"/>
  <cols>
    <col min="1" max="1" width="2.140625" customWidth="1"/>
    <col min="9" max="10" width="5.7109375" customWidth="1"/>
    <col min="12" max="12" width="2.140625" customWidth="1"/>
    <col min="15" max="17" width="0" hidden="1" customWidth="1"/>
    <col min="18" max="18" width="52.85546875" hidden="1" customWidth="1"/>
  </cols>
  <sheetData>
    <row r="1" spans="1:27" ht="11.25" customHeight="1" thickBot="1" x14ac:dyDescent="0.3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4"/>
    </row>
    <row r="2" spans="1:27" ht="20.100000000000001" customHeight="1" thickBot="1" x14ac:dyDescent="0.3">
      <c r="A2" s="85"/>
      <c r="B2" s="346"/>
      <c r="C2" s="347"/>
      <c r="D2" s="347"/>
      <c r="E2" s="354" t="s">
        <v>91</v>
      </c>
      <c r="F2" s="355"/>
      <c r="G2" s="355"/>
      <c r="H2" s="355"/>
      <c r="I2" s="355"/>
      <c r="J2" s="355"/>
      <c r="K2" s="356"/>
      <c r="L2" s="85"/>
      <c r="R2" s="342" t="s">
        <v>92</v>
      </c>
      <c r="S2" s="343"/>
      <c r="T2" s="343"/>
      <c r="U2" s="343"/>
      <c r="V2" s="343"/>
      <c r="W2" s="343"/>
      <c r="X2" s="343"/>
      <c r="Y2" s="343"/>
      <c r="Z2" s="343"/>
      <c r="AA2" s="344"/>
    </row>
    <row r="3" spans="1:27" ht="20.100000000000001" customHeight="1" x14ac:dyDescent="0.25">
      <c r="A3" s="86"/>
      <c r="B3" s="348"/>
      <c r="C3" s="296"/>
      <c r="D3" s="296"/>
      <c r="E3" s="357"/>
      <c r="F3" s="358"/>
      <c r="G3" s="358"/>
      <c r="H3" s="358"/>
      <c r="I3" s="358"/>
      <c r="J3" s="358"/>
      <c r="K3" s="359"/>
      <c r="L3" s="87"/>
    </row>
    <row r="4" spans="1:27" ht="20.100000000000001" customHeight="1" x14ac:dyDescent="0.25">
      <c r="A4" s="86"/>
      <c r="B4" s="348"/>
      <c r="C4" s="296"/>
      <c r="D4" s="296"/>
      <c r="E4" s="357"/>
      <c r="F4" s="358"/>
      <c r="G4" s="358"/>
      <c r="H4" s="358"/>
      <c r="I4" s="358"/>
      <c r="J4" s="358"/>
      <c r="K4" s="359"/>
      <c r="L4" s="87"/>
    </row>
    <row r="5" spans="1:27" ht="15.75" thickBot="1" x14ac:dyDescent="0.3">
      <c r="A5" s="86"/>
      <c r="B5" s="349"/>
      <c r="C5" s="350"/>
      <c r="D5" s="350"/>
      <c r="E5" s="360"/>
      <c r="F5" s="361"/>
      <c r="G5" s="361"/>
      <c r="H5" s="361"/>
      <c r="I5" s="361"/>
      <c r="J5" s="361"/>
      <c r="K5" s="362"/>
      <c r="L5" s="87"/>
    </row>
    <row r="6" spans="1:27" ht="7.5" customHeight="1" thickBot="1" x14ac:dyDescent="0.3">
      <c r="A6" s="86"/>
      <c r="B6" s="88"/>
      <c r="C6" s="88"/>
      <c r="D6" s="88"/>
      <c r="E6" s="88"/>
      <c r="F6" s="88"/>
      <c r="G6" s="88"/>
      <c r="H6" s="88"/>
      <c r="I6" s="88"/>
      <c r="J6" s="88"/>
      <c r="K6" s="88"/>
      <c r="L6" s="87"/>
    </row>
    <row r="7" spans="1:27" ht="15" customHeight="1" thickBot="1" x14ac:dyDescent="0.3">
      <c r="A7" s="86"/>
      <c r="B7" s="342" t="s">
        <v>92</v>
      </c>
      <c r="C7" s="343"/>
      <c r="D7" s="343"/>
      <c r="E7" s="343"/>
      <c r="F7" s="343"/>
      <c r="G7" s="343"/>
      <c r="H7" s="343"/>
      <c r="I7" s="343"/>
      <c r="J7" s="343"/>
      <c r="K7" s="344"/>
      <c r="L7" s="87"/>
    </row>
    <row r="8" spans="1:27" ht="7.5" customHeight="1" x14ac:dyDescent="0.25">
      <c r="A8" s="86"/>
      <c r="B8" s="89"/>
      <c r="C8" s="90"/>
      <c r="D8" s="90"/>
      <c r="E8" s="90"/>
      <c r="F8" s="90"/>
      <c r="G8" s="90"/>
      <c r="H8" s="90"/>
      <c r="I8" s="90"/>
      <c r="J8" s="90"/>
      <c r="K8" s="91"/>
      <c r="L8" s="87"/>
    </row>
    <row r="9" spans="1:27" x14ac:dyDescent="0.25">
      <c r="A9" s="86"/>
      <c r="B9" s="328" t="s">
        <v>93</v>
      </c>
      <c r="C9" s="293"/>
      <c r="D9" s="352" t="s">
        <v>94</v>
      </c>
      <c r="E9" s="352"/>
      <c r="F9" s="88"/>
      <c r="G9" s="293" t="s">
        <v>95</v>
      </c>
      <c r="H9" s="293"/>
      <c r="I9" s="352" t="str">
        <f ca="1">TEXT(I11, "ddmmyyyy")&amp;D20</f>
        <v>160820190</v>
      </c>
      <c r="J9" s="352"/>
      <c r="K9" s="353"/>
      <c r="L9" s="87"/>
    </row>
    <row r="10" spans="1:27" x14ac:dyDescent="0.25">
      <c r="A10" s="86"/>
      <c r="B10" s="328" t="s">
        <v>96</v>
      </c>
      <c r="C10" s="293"/>
      <c r="D10" s="331">
        <v>3004527</v>
      </c>
      <c r="E10" s="331"/>
      <c r="F10" s="88"/>
      <c r="G10" s="293" t="s">
        <v>97</v>
      </c>
      <c r="H10" s="293"/>
      <c r="I10" s="331" t="s">
        <v>98</v>
      </c>
      <c r="J10" s="331"/>
      <c r="K10" s="332"/>
      <c r="L10" s="87"/>
    </row>
    <row r="11" spans="1:27" x14ac:dyDescent="0.25">
      <c r="A11" s="86"/>
      <c r="B11" s="328" t="s">
        <v>99</v>
      </c>
      <c r="C11" s="293"/>
      <c r="D11" s="331" t="s">
        <v>28</v>
      </c>
      <c r="E11" s="331"/>
      <c r="F11" s="88"/>
      <c r="G11" s="293" t="s">
        <v>100</v>
      </c>
      <c r="H11" s="293"/>
      <c r="I11" s="330">
        <f ca="1">CARROTANQUE!B7</f>
        <v>43693</v>
      </c>
      <c r="J11" s="331"/>
      <c r="K11" s="332"/>
      <c r="L11" s="87"/>
    </row>
    <row r="12" spans="1:27" x14ac:dyDescent="0.25">
      <c r="A12" s="86"/>
      <c r="B12" s="328" t="s">
        <v>101</v>
      </c>
      <c r="C12" s="293"/>
      <c r="D12" s="331" t="s">
        <v>102</v>
      </c>
      <c r="E12" s="331"/>
      <c r="F12" s="88"/>
      <c r="G12" s="293" t="s">
        <v>103</v>
      </c>
      <c r="H12" s="293"/>
      <c r="I12" s="331" t="s">
        <v>104</v>
      </c>
      <c r="J12" s="331"/>
      <c r="K12" s="332"/>
      <c r="L12" s="87"/>
    </row>
    <row r="13" spans="1:27" ht="7.5" customHeight="1" thickBot="1" x14ac:dyDescent="0.3">
      <c r="A13" s="86"/>
      <c r="B13" s="92"/>
      <c r="C13" s="93"/>
      <c r="D13" s="94"/>
      <c r="E13" s="94"/>
      <c r="F13" s="95"/>
      <c r="G13" s="95"/>
      <c r="H13" s="95"/>
      <c r="I13" s="95"/>
      <c r="J13" s="95"/>
      <c r="K13" s="96"/>
      <c r="L13" s="87"/>
    </row>
    <row r="14" spans="1:27" ht="7.5" customHeight="1" thickBot="1" x14ac:dyDescent="0.3">
      <c r="A14" s="86"/>
      <c r="B14" s="142"/>
      <c r="C14" s="142"/>
      <c r="D14" s="143"/>
      <c r="E14" s="143"/>
      <c r="F14" s="88"/>
      <c r="G14" s="88"/>
      <c r="H14" s="88"/>
      <c r="I14" s="88"/>
      <c r="J14" s="88"/>
      <c r="K14" s="88"/>
      <c r="L14" s="87"/>
    </row>
    <row r="15" spans="1:27" ht="15" customHeight="1" thickBot="1" x14ac:dyDescent="0.3">
      <c r="A15" s="86"/>
      <c r="B15" s="342" t="s">
        <v>105</v>
      </c>
      <c r="C15" s="343"/>
      <c r="D15" s="343"/>
      <c r="E15" s="343"/>
      <c r="F15" s="343"/>
      <c r="G15" s="343"/>
      <c r="H15" s="343"/>
      <c r="I15" s="343"/>
      <c r="J15" s="343"/>
      <c r="K15" s="344"/>
      <c r="L15" s="87"/>
    </row>
    <row r="16" spans="1:27" ht="7.5" customHeight="1" x14ac:dyDescent="0.25">
      <c r="A16" s="86"/>
      <c r="B16" s="89"/>
      <c r="C16" s="90"/>
      <c r="D16" s="90"/>
      <c r="E16" s="90"/>
      <c r="F16" s="90"/>
      <c r="G16" s="90"/>
      <c r="H16" s="90"/>
      <c r="I16" s="90"/>
      <c r="J16" s="90"/>
      <c r="K16" s="91"/>
      <c r="L16" s="87"/>
    </row>
    <row r="17" spans="1:18" x14ac:dyDescent="0.25">
      <c r="A17" s="86"/>
      <c r="B17" s="328" t="s">
        <v>106</v>
      </c>
      <c r="C17" s="293"/>
      <c r="D17" s="400">
        <f>CARROTANQUE!D7</f>
        <v>6216</v>
      </c>
      <c r="E17" s="400"/>
      <c r="F17" s="88"/>
      <c r="G17" s="293" t="s">
        <v>107</v>
      </c>
      <c r="H17" s="293"/>
      <c r="I17" s="352" t="s">
        <v>169</v>
      </c>
      <c r="J17" s="352"/>
      <c r="K17" s="353"/>
      <c r="L17" s="87"/>
      <c r="Q17" s="99"/>
      <c r="R17" s="100"/>
    </row>
    <row r="18" spans="1:18" x14ac:dyDescent="0.25">
      <c r="A18" s="86"/>
      <c r="B18" s="328" t="s">
        <v>109</v>
      </c>
      <c r="C18" s="293"/>
      <c r="D18" s="331" t="s">
        <v>181</v>
      </c>
      <c r="E18" s="331"/>
      <c r="F18" s="88"/>
      <c r="G18" s="293" t="s">
        <v>111</v>
      </c>
      <c r="H18" s="293"/>
      <c r="I18" s="331" t="str">
        <f>IF(CARROTANQUE!G8="CRUDO MITO","CLIENTE","OIL TEST INTERNACIONAL")</f>
        <v>OIL TEST INTERNACIONAL</v>
      </c>
      <c r="J18" s="331"/>
      <c r="K18" s="332"/>
      <c r="L18" s="87"/>
      <c r="Q18" s="99"/>
      <c r="R18" s="100"/>
    </row>
    <row r="19" spans="1:18" x14ac:dyDescent="0.25">
      <c r="A19" s="86"/>
      <c r="B19" s="328" t="s">
        <v>113</v>
      </c>
      <c r="C19" s="293"/>
      <c r="D19" s="329" t="s">
        <v>114</v>
      </c>
      <c r="E19" s="329"/>
      <c r="F19" s="88"/>
      <c r="G19" s="293" t="s">
        <v>115</v>
      </c>
      <c r="H19" s="293"/>
      <c r="I19" s="330">
        <f ca="1">I11</f>
        <v>43693</v>
      </c>
      <c r="J19" s="331"/>
      <c r="K19" s="332"/>
      <c r="L19" s="87"/>
      <c r="Q19" s="99"/>
      <c r="R19" s="100"/>
    </row>
    <row r="20" spans="1:18" x14ac:dyDescent="0.25">
      <c r="A20" s="86"/>
      <c r="B20" s="328" t="s">
        <v>116</v>
      </c>
      <c r="C20" s="293"/>
      <c r="D20" s="345">
        <f>CARROTANQUE!G7</f>
        <v>0</v>
      </c>
      <c r="E20" s="345"/>
      <c r="F20" s="88"/>
      <c r="G20" s="293" t="s">
        <v>117</v>
      </c>
      <c r="H20" s="293"/>
      <c r="I20" s="330">
        <f ca="1">I11</f>
        <v>43693</v>
      </c>
      <c r="J20" s="331"/>
      <c r="K20" s="332"/>
      <c r="L20" s="87"/>
      <c r="Q20" s="99"/>
      <c r="R20" s="100"/>
    </row>
    <row r="21" spans="1:18" x14ac:dyDescent="0.25">
      <c r="A21" s="86"/>
      <c r="B21" s="328" t="s">
        <v>118</v>
      </c>
      <c r="C21" s="293"/>
      <c r="D21" s="331">
        <f>CARROTANQUE!G8</f>
        <v>0</v>
      </c>
      <c r="E21" s="331"/>
      <c r="F21" s="88"/>
      <c r="G21" s="293" t="s">
        <v>120</v>
      </c>
      <c r="H21" s="293"/>
      <c r="I21" s="330">
        <f ca="1">I11</f>
        <v>43693</v>
      </c>
      <c r="J21" s="331"/>
      <c r="K21" s="332"/>
      <c r="L21" s="87"/>
      <c r="Q21" s="99"/>
      <c r="R21" s="100"/>
    </row>
    <row r="22" spans="1:18" ht="7.5" customHeight="1" thickBot="1" x14ac:dyDescent="0.3">
      <c r="A22" s="86"/>
      <c r="B22" s="92"/>
      <c r="C22" s="93"/>
      <c r="D22" s="94"/>
      <c r="E22" s="94"/>
      <c r="F22" s="95"/>
      <c r="G22" s="95"/>
      <c r="H22" s="95"/>
      <c r="I22" s="95"/>
      <c r="J22" s="95"/>
      <c r="K22" s="96"/>
      <c r="L22" s="87"/>
      <c r="Q22" s="99"/>
      <c r="R22" s="100"/>
    </row>
    <row r="23" spans="1:18" ht="7.5" customHeight="1" thickBot="1" x14ac:dyDescent="0.3">
      <c r="A23" s="86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7"/>
      <c r="Q23" s="99"/>
      <c r="R23" s="100"/>
    </row>
    <row r="24" spans="1:18" ht="15" customHeight="1" thickBot="1" x14ac:dyDescent="0.3">
      <c r="A24" s="86"/>
      <c r="B24" s="333" t="s">
        <v>121</v>
      </c>
      <c r="C24" s="334"/>
      <c r="D24" s="334"/>
      <c r="E24" s="334"/>
      <c r="F24" s="334"/>
      <c r="G24" s="334"/>
      <c r="H24" s="334"/>
      <c r="I24" s="334"/>
      <c r="J24" s="334"/>
      <c r="K24" s="335"/>
      <c r="L24" s="87"/>
      <c r="Q24" s="99"/>
      <c r="R24" s="100"/>
    </row>
    <row r="25" spans="1:18" ht="15" customHeight="1" thickBot="1" x14ac:dyDescent="0.3">
      <c r="A25" s="101"/>
      <c r="B25" s="336" t="s">
        <v>122</v>
      </c>
      <c r="C25" s="337"/>
      <c r="D25" s="337"/>
      <c r="E25" s="145" t="s">
        <v>123</v>
      </c>
      <c r="F25" s="144" t="s">
        <v>124</v>
      </c>
      <c r="G25" s="145" t="s">
        <v>125</v>
      </c>
      <c r="H25" s="104" t="s">
        <v>126</v>
      </c>
      <c r="I25" s="338" t="s">
        <v>127</v>
      </c>
      <c r="J25" s="338"/>
      <c r="K25" s="105" t="s">
        <v>128</v>
      </c>
      <c r="L25" s="87"/>
      <c r="Q25" s="99"/>
      <c r="R25" s="100"/>
    </row>
    <row r="26" spans="1:18" x14ac:dyDescent="0.25">
      <c r="A26" s="101"/>
      <c r="B26" s="339"/>
      <c r="C26" s="340"/>
      <c r="D26" s="340"/>
      <c r="E26" s="106"/>
      <c r="F26" s="107"/>
      <c r="G26" s="146"/>
      <c r="H26" s="107"/>
      <c r="I26" s="341"/>
      <c r="J26" s="341"/>
      <c r="K26" s="109"/>
      <c r="L26" s="87"/>
      <c r="Q26" s="99"/>
      <c r="R26" s="100"/>
    </row>
    <row r="27" spans="1:18" ht="15" customHeight="1" x14ac:dyDescent="0.25">
      <c r="A27" s="110"/>
      <c r="B27" s="299" t="s">
        <v>129</v>
      </c>
      <c r="C27" s="300"/>
      <c r="D27" s="300"/>
      <c r="E27" s="111" t="s">
        <v>130</v>
      </c>
      <c r="F27" s="112" t="s">
        <v>131</v>
      </c>
      <c r="G27" s="113"/>
      <c r="H27" s="114"/>
      <c r="I27" s="323" t="str">
        <f>CARROTANQUE!F10</f>
        <v/>
      </c>
      <c r="J27" s="323"/>
      <c r="K27" s="115" t="s">
        <v>132</v>
      </c>
      <c r="L27" s="87"/>
      <c r="Q27" s="99"/>
      <c r="R27" s="100"/>
    </row>
    <row r="28" spans="1:18" ht="15" customHeight="1" x14ac:dyDescent="0.25">
      <c r="A28" s="110"/>
      <c r="B28" s="299" t="s">
        <v>133</v>
      </c>
      <c r="C28" s="300"/>
      <c r="D28" s="300"/>
      <c r="E28" s="111" t="s">
        <v>134</v>
      </c>
      <c r="F28" s="112" t="s">
        <v>135</v>
      </c>
      <c r="G28" s="113"/>
      <c r="H28" s="114">
        <f>IF(CARROTANQUE!G8="CRUDO MITO",0.5,0.1)</f>
        <v>0.1</v>
      </c>
      <c r="I28" s="325" t="str">
        <f>CARROTANQUE!I13</f>
        <v/>
      </c>
      <c r="J28" s="326"/>
      <c r="K28" s="115" t="str">
        <f>IF(I28&lt;0.484,"Conforme","No Conforme")</f>
        <v>No Conforme</v>
      </c>
      <c r="L28" s="87"/>
      <c r="Q28" s="99"/>
      <c r="R28" s="100"/>
    </row>
    <row r="29" spans="1:18" x14ac:dyDescent="0.25">
      <c r="A29" s="110"/>
      <c r="B29" s="299" t="s">
        <v>136</v>
      </c>
      <c r="C29" s="300"/>
      <c r="D29" s="300"/>
      <c r="E29" s="106" t="s">
        <v>137</v>
      </c>
      <c r="F29" s="107" t="s">
        <v>135</v>
      </c>
      <c r="G29" s="146"/>
      <c r="H29" s="116"/>
      <c r="I29" s="323" t="s">
        <v>186</v>
      </c>
      <c r="J29" s="323"/>
      <c r="K29" s="115"/>
      <c r="L29" s="87"/>
      <c r="Q29" s="99"/>
      <c r="R29" s="100"/>
    </row>
    <row r="30" spans="1:18" x14ac:dyDescent="0.25">
      <c r="A30" s="110"/>
      <c r="B30" s="299" t="s">
        <v>138</v>
      </c>
      <c r="C30" s="300"/>
      <c r="D30" s="300"/>
      <c r="E30" s="106" t="s">
        <v>139</v>
      </c>
      <c r="F30" s="107" t="s">
        <v>140</v>
      </c>
      <c r="G30" s="146"/>
      <c r="H30" s="117"/>
      <c r="I30" s="323" t="s">
        <v>186</v>
      </c>
      <c r="J30" s="323"/>
      <c r="K30" s="115"/>
      <c r="L30" s="87"/>
      <c r="Q30" s="99"/>
      <c r="R30" s="100"/>
    </row>
    <row r="31" spans="1:18" x14ac:dyDescent="0.25">
      <c r="A31" s="110"/>
      <c r="B31" s="299" t="s">
        <v>141</v>
      </c>
      <c r="C31" s="300"/>
      <c r="D31" s="300"/>
      <c r="E31" s="106" t="s">
        <v>142</v>
      </c>
      <c r="F31" s="107" t="s">
        <v>143</v>
      </c>
      <c r="G31" s="146"/>
      <c r="H31" s="117"/>
      <c r="I31" s="323" t="s">
        <v>186</v>
      </c>
      <c r="J31" s="324"/>
      <c r="K31" s="115"/>
      <c r="L31" s="87"/>
      <c r="Q31" s="99"/>
      <c r="R31" s="100"/>
    </row>
    <row r="32" spans="1:18" x14ac:dyDescent="0.25">
      <c r="A32" s="110"/>
      <c r="B32" s="299" t="s">
        <v>144</v>
      </c>
      <c r="C32" s="300"/>
      <c r="D32" s="300"/>
      <c r="E32" s="106" t="s">
        <v>209</v>
      </c>
      <c r="F32" s="107" t="s">
        <v>145</v>
      </c>
      <c r="G32" s="146"/>
      <c r="H32" s="117"/>
      <c r="I32" s="301" t="s">
        <v>186</v>
      </c>
      <c r="J32" s="301"/>
      <c r="K32" s="115"/>
      <c r="L32" s="87"/>
      <c r="Q32" s="99"/>
      <c r="R32" s="118"/>
    </row>
    <row r="33" spans="1:26" x14ac:dyDescent="0.25">
      <c r="A33" s="110"/>
      <c r="B33" s="299"/>
      <c r="C33" s="300"/>
      <c r="D33" s="300"/>
      <c r="E33" s="106"/>
      <c r="F33" s="107"/>
      <c r="G33" s="146"/>
      <c r="H33" s="107"/>
      <c r="I33" s="301"/>
      <c r="J33" s="301"/>
      <c r="K33" s="115"/>
      <c r="L33" s="87"/>
      <c r="Q33" s="99"/>
      <c r="R33" s="118"/>
    </row>
    <row r="34" spans="1:26" x14ac:dyDescent="0.25">
      <c r="A34" s="110"/>
      <c r="B34" s="299"/>
      <c r="C34" s="300"/>
      <c r="D34" s="300"/>
      <c r="E34" s="106"/>
      <c r="F34" s="107"/>
      <c r="G34" s="146"/>
      <c r="H34" s="107"/>
      <c r="I34" s="301"/>
      <c r="J34" s="301"/>
      <c r="K34" s="115"/>
      <c r="L34" s="87"/>
      <c r="Q34" s="99"/>
      <c r="R34" s="119"/>
    </row>
    <row r="35" spans="1:26" x14ac:dyDescent="0.25">
      <c r="A35" s="110"/>
      <c r="B35" s="299"/>
      <c r="C35" s="300"/>
      <c r="D35" s="300"/>
      <c r="E35" s="106"/>
      <c r="F35" s="107"/>
      <c r="G35" s="146"/>
      <c r="H35" s="107"/>
      <c r="I35" s="301"/>
      <c r="J35" s="301"/>
      <c r="K35" s="115"/>
      <c r="L35" s="87"/>
      <c r="Q35" s="99"/>
      <c r="R35" s="119"/>
    </row>
    <row r="36" spans="1:26" x14ac:dyDescent="0.25">
      <c r="A36" s="110"/>
      <c r="B36" s="299"/>
      <c r="C36" s="300"/>
      <c r="D36" s="300"/>
      <c r="E36" s="106"/>
      <c r="F36" s="107"/>
      <c r="G36" s="146"/>
      <c r="H36" s="107"/>
      <c r="I36" s="301"/>
      <c r="J36" s="301"/>
      <c r="K36" s="115"/>
      <c r="L36" s="87"/>
      <c r="Q36" s="99"/>
      <c r="R36" s="100"/>
    </row>
    <row r="37" spans="1:26" x14ac:dyDescent="0.25">
      <c r="A37" s="110"/>
      <c r="B37" s="299"/>
      <c r="C37" s="300"/>
      <c r="D37" s="300"/>
      <c r="E37" s="106"/>
      <c r="F37" s="107"/>
      <c r="G37" s="146"/>
      <c r="H37" s="107"/>
      <c r="I37" s="301"/>
      <c r="J37" s="301"/>
      <c r="K37" s="115"/>
      <c r="L37" s="87"/>
      <c r="Q37" s="99"/>
      <c r="R37" s="100"/>
    </row>
    <row r="38" spans="1:26" x14ac:dyDescent="0.25">
      <c r="A38" s="110"/>
      <c r="B38" s="299"/>
      <c r="C38" s="300"/>
      <c r="D38" s="300"/>
      <c r="E38" s="111"/>
      <c r="F38" s="120"/>
      <c r="G38" s="121"/>
      <c r="H38" s="112"/>
      <c r="I38" s="122"/>
      <c r="J38" s="122"/>
      <c r="K38" s="115"/>
      <c r="L38" s="87"/>
      <c r="Q38" s="99"/>
      <c r="R38" s="100"/>
    </row>
    <row r="39" spans="1:26" x14ac:dyDescent="0.25">
      <c r="A39" s="110"/>
      <c r="B39" s="299"/>
      <c r="C39" s="300"/>
      <c r="D39" s="300"/>
      <c r="E39" s="111"/>
      <c r="F39" s="120"/>
      <c r="G39" s="121"/>
      <c r="H39" s="112"/>
      <c r="I39" s="122"/>
      <c r="J39" s="122"/>
      <c r="K39" s="115"/>
      <c r="L39" s="87"/>
      <c r="Q39" s="99"/>
      <c r="R39" s="100"/>
    </row>
    <row r="40" spans="1:26" ht="15.75" thickBot="1" x14ac:dyDescent="0.3">
      <c r="A40" s="110"/>
      <c r="B40" s="123"/>
      <c r="C40" s="124"/>
      <c r="D40" s="124"/>
      <c r="E40" s="125"/>
      <c r="F40" s="126"/>
      <c r="G40" s="127"/>
      <c r="H40" s="128"/>
      <c r="I40" s="129"/>
      <c r="J40" s="129"/>
      <c r="K40" s="115"/>
      <c r="L40" s="87"/>
      <c r="Q40" s="99"/>
      <c r="R40" s="100"/>
    </row>
    <row r="41" spans="1:26" ht="18.75" customHeight="1" x14ac:dyDescent="0.25">
      <c r="A41" s="86"/>
      <c r="B41" s="302" t="s">
        <v>146</v>
      </c>
      <c r="C41" s="303"/>
      <c r="D41" s="303"/>
      <c r="E41" s="308"/>
      <c r="F41" s="309"/>
      <c r="G41" s="309"/>
      <c r="H41" s="309"/>
      <c r="I41" s="309"/>
      <c r="J41" s="309"/>
      <c r="K41" s="310"/>
      <c r="L41" s="87"/>
      <c r="Q41" s="99"/>
      <c r="R41" s="100"/>
    </row>
    <row r="42" spans="1:26" ht="18.75" customHeight="1" x14ac:dyDescent="0.25">
      <c r="A42" s="86"/>
      <c r="B42" s="304"/>
      <c r="C42" s="305"/>
      <c r="D42" s="305"/>
      <c r="E42" s="311"/>
      <c r="F42" s="312"/>
      <c r="G42" s="312"/>
      <c r="H42" s="312"/>
      <c r="I42" s="312"/>
      <c r="J42" s="312"/>
      <c r="K42" s="313"/>
      <c r="L42" s="87"/>
      <c r="Q42" s="99"/>
      <c r="R42" s="100"/>
    </row>
    <row r="43" spans="1:26" ht="18.75" customHeight="1" thickBot="1" x14ac:dyDescent="0.3">
      <c r="A43" s="86"/>
      <c r="B43" s="306"/>
      <c r="C43" s="307"/>
      <c r="D43" s="307"/>
      <c r="E43" s="314"/>
      <c r="F43" s="315"/>
      <c r="G43" s="315"/>
      <c r="H43" s="315"/>
      <c r="I43" s="315"/>
      <c r="J43" s="315"/>
      <c r="K43" s="316"/>
      <c r="L43" s="87"/>
    </row>
    <row r="44" spans="1:26" ht="28.5" customHeight="1" thickBot="1" x14ac:dyDescent="0.3">
      <c r="A44" s="86"/>
      <c r="B44" s="317" t="s">
        <v>147</v>
      </c>
      <c r="C44" s="318"/>
      <c r="D44" s="318"/>
      <c r="E44" s="319" t="s">
        <v>148</v>
      </c>
      <c r="F44" s="319"/>
      <c r="G44" s="319"/>
      <c r="H44" s="319"/>
      <c r="I44" s="320" t="s">
        <v>149</v>
      </c>
      <c r="J44" s="320"/>
      <c r="K44" s="130" t="s">
        <v>98</v>
      </c>
      <c r="L44" s="87"/>
    </row>
    <row r="45" spans="1:26" ht="18.75" customHeight="1" thickBot="1" x14ac:dyDescent="0.3">
      <c r="A45" s="86"/>
      <c r="B45" s="317" t="s">
        <v>150</v>
      </c>
      <c r="C45" s="318"/>
      <c r="D45" s="318"/>
      <c r="E45" s="321" t="s">
        <v>151</v>
      </c>
      <c r="F45" s="321"/>
      <c r="G45" s="321"/>
      <c r="H45" s="321"/>
      <c r="I45" s="321"/>
      <c r="J45" s="321"/>
      <c r="K45" s="322"/>
      <c r="L45" s="87"/>
    </row>
    <row r="46" spans="1:26" x14ac:dyDescent="0.25">
      <c r="A46" s="86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87"/>
      <c r="R46" s="131" t="s">
        <v>152</v>
      </c>
      <c r="V46" t="s">
        <v>153</v>
      </c>
      <c r="W46" t="s">
        <v>154</v>
      </c>
      <c r="X46" t="s">
        <v>154</v>
      </c>
      <c r="Y46" t="s">
        <v>154</v>
      </c>
      <c r="Z46" t="s">
        <v>154</v>
      </c>
    </row>
    <row r="47" spans="1:26" x14ac:dyDescent="0.25">
      <c r="A47" s="86"/>
      <c r="B47" s="293" t="s">
        <v>155</v>
      </c>
      <c r="C47" s="293"/>
      <c r="D47" s="298">
        <f>CARROTANQUE!G15</f>
        <v>0</v>
      </c>
      <c r="E47" s="298"/>
      <c r="F47" s="298"/>
      <c r="G47" s="295" t="s">
        <v>156</v>
      </c>
      <c r="H47" s="295"/>
      <c r="I47" s="298" t="s">
        <v>157</v>
      </c>
      <c r="J47" s="298"/>
      <c r="K47" s="298"/>
      <c r="L47" s="87"/>
      <c r="R47" s="100"/>
    </row>
    <row r="48" spans="1:26" x14ac:dyDescent="0.25">
      <c r="A48" s="86"/>
      <c r="B48" s="293" t="s">
        <v>158</v>
      </c>
      <c r="C48" s="293"/>
      <c r="D48" s="294" t="s">
        <v>159</v>
      </c>
      <c r="E48" s="294"/>
      <c r="F48" s="294"/>
      <c r="G48" s="295" t="s">
        <v>158</v>
      </c>
      <c r="H48" s="295"/>
      <c r="I48" s="294" t="s">
        <v>160</v>
      </c>
      <c r="J48" s="294"/>
      <c r="K48" s="294"/>
      <c r="L48" s="87"/>
      <c r="R48" s="100"/>
    </row>
    <row r="49" spans="1:18" x14ac:dyDescent="0.25">
      <c r="A49" s="86"/>
      <c r="B49" s="296"/>
      <c r="C49" s="296"/>
      <c r="D49" s="22"/>
      <c r="E49" s="22"/>
      <c r="F49" s="22"/>
      <c r="G49" s="22"/>
      <c r="H49" s="22"/>
      <c r="I49" s="22"/>
      <c r="J49" s="22"/>
      <c r="K49" s="22"/>
      <c r="L49" s="87"/>
      <c r="R49" s="100"/>
    </row>
    <row r="50" spans="1:18" ht="117.75" customHeight="1" thickBot="1" x14ac:dyDescent="0.3">
      <c r="A50" s="132"/>
      <c r="B50" s="297" t="s">
        <v>161</v>
      </c>
      <c r="C50" s="297"/>
      <c r="D50" s="297"/>
      <c r="E50" s="297"/>
      <c r="F50" s="297"/>
      <c r="G50" s="297"/>
      <c r="H50" s="297"/>
      <c r="I50" s="297"/>
      <c r="J50" s="297"/>
      <c r="K50" s="297"/>
      <c r="L50" s="133"/>
    </row>
    <row r="51" spans="1:18" x14ac:dyDescent="0.25">
      <c r="B51" t="s">
        <v>218</v>
      </c>
      <c r="D51" t="s">
        <v>219</v>
      </c>
      <c r="J51" t="s">
        <v>220</v>
      </c>
      <c r="Q51" s="289" t="s">
        <v>162</v>
      </c>
      <c r="R51" s="131" t="s">
        <v>163</v>
      </c>
    </row>
    <row r="52" spans="1:18" x14ac:dyDescent="0.25">
      <c r="Q52" s="290"/>
      <c r="R52" s="131" t="s">
        <v>152</v>
      </c>
    </row>
    <row r="53" spans="1:18" x14ac:dyDescent="0.25">
      <c r="Q53" s="290"/>
      <c r="R53" s="131" t="s">
        <v>164</v>
      </c>
    </row>
    <row r="54" spans="1:18" x14ac:dyDescent="0.25">
      <c r="Q54" s="290"/>
      <c r="R54" s="131" t="s">
        <v>114</v>
      </c>
    </row>
    <row r="55" spans="1:18" x14ac:dyDescent="0.25">
      <c r="Q55" s="291"/>
      <c r="R55" s="131" t="s">
        <v>165</v>
      </c>
    </row>
    <row r="56" spans="1:18" x14ac:dyDescent="0.25">
      <c r="Q56" s="289" t="s">
        <v>166</v>
      </c>
      <c r="R56" s="131" t="s">
        <v>165</v>
      </c>
    </row>
    <row r="57" spans="1:18" ht="15" customHeight="1" x14ac:dyDescent="0.25">
      <c r="Q57" s="290"/>
      <c r="R57" s="131" t="s">
        <v>167</v>
      </c>
    </row>
    <row r="58" spans="1:18" x14ac:dyDescent="0.25">
      <c r="Q58" s="290"/>
      <c r="R58" s="131" t="s">
        <v>168</v>
      </c>
    </row>
    <row r="59" spans="1:18" x14ac:dyDescent="0.25">
      <c r="Q59" s="290"/>
      <c r="R59" s="131" t="s">
        <v>169</v>
      </c>
    </row>
    <row r="60" spans="1:18" x14ac:dyDescent="0.25">
      <c r="Q60" s="290"/>
      <c r="R60" s="131" t="s">
        <v>108</v>
      </c>
    </row>
    <row r="61" spans="1:18" x14ac:dyDescent="0.25">
      <c r="Q61" s="290"/>
      <c r="R61" s="131" t="s">
        <v>170</v>
      </c>
    </row>
    <row r="62" spans="1:18" x14ac:dyDescent="0.25">
      <c r="Q62" s="290"/>
      <c r="R62" s="131" t="s">
        <v>171</v>
      </c>
    </row>
    <row r="63" spans="1:18" x14ac:dyDescent="0.25">
      <c r="Q63" s="290"/>
      <c r="R63" s="131" t="s">
        <v>172</v>
      </c>
    </row>
    <row r="64" spans="1:18" x14ac:dyDescent="0.25">
      <c r="Q64" s="290"/>
      <c r="R64" s="131" t="s">
        <v>173</v>
      </c>
    </row>
    <row r="65" spans="17:18" x14ac:dyDescent="0.25">
      <c r="Q65" s="291"/>
      <c r="R65" s="134" t="s">
        <v>174</v>
      </c>
    </row>
    <row r="66" spans="17:18" x14ac:dyDescent="0.25">
      <c r="Q66" s="292" t="s">
        <v>175</v>
      </c>
      <c r="R66" s="134" t="s">
        <v>176</v>
      </c>
    </row>
    <row r="67" spans="17:18" x14ac:dyDescent="0.25">
      <c r="Q67" s="292"/>
      <c r="R67" s="135" t="s">
        <v>177</v>
      </c>
    </row>
    <row r="68" spans="17:18" x14ac:dyDescent="0.25">
      <c r="Q68" s="292"/>
      <c r="R68" s="135" t="s">
        <v>178</v>
      </c>
    </row>
    <row r="69" spans="17:18" x14ac:dyDescent="0.25">
      <c r="Q69" s="292"/>
      <c r="R69" s="131" t="s">
        <v>110</v>
      </c>
    </row>
    <row r="70" spans="17:18" x14ac:dyDescent="0.25">
      <c r="Q70" s="292"/>
      <c r="R70" s="131" t="s">
        <v>179</v>
      </c>
    </row>
    <row r="71" spans="17:18" x14ac:dyDescent="0.25">
      <c r="Q71" s="292"/>
      <c r="R71" s="131" t="s">
        <v>180</v>
      </c>
    </row>
    <row r="72" spans="17:18" x14ac:dyDescent="0.25">
      <c r="Q72" s="292"/>
      <c r="R72" s="131" t="s">
        <v>181</v>
      </c>
    </row>
    <row r="73" spans="17:18" x14ac:dyDescent="0.25">
      <c r="Q73" s="292"/>
      <c r="R73" s="131" t="s">
        <v>182</v>
      </c>
    </row>
    <row r="74" spans="17:18" x14ac:dyDescent="0.25">
      <c r="Q74" s="292"/>
      <c r="R74" s="131" t="s">
        <v>183</v>
      </c>
    </row>
    <row r="75" spans="17:18" x14ac:dyDescent="0.25">
      <c r="Q75" s="292"/>
      <c r="R75" s="131" t="s">
        <v>184</v>
      </c>
    </row>
    <row r="76" spans="17:18" x14ac:dyDescent="0.25">
      <c r="R76" s="136" t="s">
        <v>165</v>
      </c>
    </row>
  </sheetData>
  <mergeCells count="90">
    <mergeCell ref="B7:K7"/>
    <mergeCell ref="B2:D5"/>
    <mergeCell ref="R2:AA2"/>
    <mergeCell ref="E2:K5"/>
    <mergeCell ref="B9:C9"/>
    <mergeCell ref="D9:E9"/>
    <mergeCell ref="G9:H9"/>
    <mergeCell ref="I9:K9"/>
    <mergeCell ref="B10:C10"/>
    <mergeCell ref="D10:E10"/>
    <mergeCell ref="G10:H10"/>
    <mergeCell ref="I10:K10"/>
    <mergeCell ref="B18:C18"/>
    <mergeCell ref="D18:E18"/>
    <mergeCell ref="G18:H18"/>
    <mergeCell ref="I18:K18"/>
    <mergeCell ref="B11:C11"/>
    <mergeCell ref="D11:E11"/>
    <mergeCell ref="G11:H11"/>
    <mergeCell ref="I11:K11"/>
    <mergeCell ref="B12:C12"/>
    <mergeCell ref="D12:E12"/>
    <mergeCell ref="G12:H12"/>
    <mergeCell ref="I12:K12"/>
    <mergeCell ref="B15:K15"/>
    <mergeCell ref="B17:C17"/>
    <mergeCell ref="D17:E17"/>
    <mergeCell ref="G17:H17"/>
    <mergeCell ref="I17:K17"/>
    <mergeCell ref="B25:D25"/>
    <mergeCell ref="I25:J25"/>
    <mergeCell ref="B19:C19"/>
    <mergeCell ref="D19:E19"/>
    <mergeCell ref="G19:H19"/>
    <mergeCell ref="I19:K19"/>
    <mergeCell ref="B20:C20"/>
    <mergeCell ref="D20:E20"/>
    <mergeCell ref="G20:H20"/>
    <mergeCell ref="I20:K20"/>
    <mergeCell ref="B21:C21"/>
    <mergeCell ref="D21:E21"/>
    <mergeCell ref="G21:H21"/>
    <mergeCell ref="I21:K21"/>
    <mergeCell ref="B24:K24"/>
    <mergeCell ref="B26:D26"/>
    <mergeCell ref="I26:J26"/>
    <mergeCell ref="B27:D27"/>
    <mergeCell ref="I27:J27"/>
    <mergeCell ref="B28:D28"/>
    <mergeCell ref="I28:J28"/>
    <mergeCell ref="B29:D29"/>
    <mergeCell ref="I29:J29"/>
    <mergeCell ref="B30:D30"/>
    <mergeCell ref="I30:J30"/>
    <mergeCell ref="B31:D31"/>
    <mergeCell ref="I31:J31"/>
    <mergeCell ref="B32:D32"/>
    <mergeCell ref="I32:J32"/>
    <mergeCell ref="B33:D33"/>
    <mergeCell ref="I33:J33"/>
    <mergeCell ref="B34:D34"/>
    <mergeCell ref="I34:J34"/>
    <mergeCell ref="B35:D35"/>
    <mergeCell ref="I35:J35"/>
    <mergeCell ref="B36:D36"/>
    <mergeCell ref="I36:J36"/>
    <mergeCell ref="B37:D37"/>
    <mergeCell ref="I37:J37"/>
    <mergeCell ref="B38:D38"/>
    <mergeCell ref="B39:D39"/>
    <mergeCell ref="B41:D43"/>
    <mergeCell ref="E41:K43"/>
    <mergeCell ref="B44:D44"/>
    <mergeCell ref="E44:H44"/>
    <mergeCell ref="I44:J44"/>
    <mergeCell ref="B45:D45"/>
    <mergeCell ref="E45:K45"/>
    <mergeCell ref="B47:C47"/>
    <mergeCell ref="D47:F47"/>
    <mergeCell ref="G47:H47"/>
    <mergeCell ref="I47:K47"/>
    <mergeCell ref="Q51:Q55"/>
    <mergeCell ref="Q56:Q65"/>
    <mergeCell ref="Q66:Q75"/>
    <mergeCell ref="B48:C48"/>
    <mergeCell ref="D48:F48"/>
    <mergeCell ref="G48:H48"/>
    <mergeCell ref="I48:K48"/>
    <mergeCell ref="B49:C49"/>
    <mergeCell ref="B50:K50"/>
  </mergeCells>
  <dataValidations count="8">
    <dataValidation type="list" allowBlank="1" showInputMessage="1" showErrorMessage="1" sqref="A33:A39" xr:uid="{00000000-0002-0000-4000-000000000000}">
      <formula1>$P$74:$P$76</formula1>
    </dataValidation>
    <dataValidation type="list" allowBlank="1" showInputMessage="1" showErrorMessage="1" sqref="K26:K27 K29:K40" xr:uid="{00000000-0002-0000-4000-000001000000}">
      <formula1>"No conforme,Conforme"</formula1>
    </dataValidation>
    <dataValidation type="list" allowBlank="1" showInputMessage="1" showErrorMessage="1" sqref="I12:K12" xr:uid="{00000000-0002-0000-4000-000002000000}">
      <formula1>"CRUDOS CPF1, CRUDOS CPF2, AGUAS CPF1, AGUAS CPF2"</formula1>
    </dataValidation>
    <dataValidation type="list" allowBlank="1" showInputMessage="1" showErrorMessage="1" sqref="E45:K45" xr:uid="{00000000-0002-0000-4000-000003000000}">
      <formula1>"La muestra cumple con los requisitos mínimos para los análisis solicitados, La muestra no cumple con los requisitos mínimos para los análisis solicitados"</formula1>
    </dataValidation>
    <dataValidation type="list" allowBlank="1" showInputMessage="1" showErrorMessage="1" sqref="D18:E18" xr:uid="{00000000-0002-0000-4000-000004000000}">
      <formula1>$R$66:$R$76</formula1>
    </dataValidation>
    <dataValidation type="list" allowBlank="1" showInputMessage="1" showErrorMessage="1" sqref="D19:E19" xr:uid="{00000000-0002-0000-4000-000005000000}">
      <formula1>$R$51:$R$55</formula1>
    </dataValidation>
    <dataValidation type="list" allowBlank="1" showInputMessage="1" showErrorMessage="1" sqref="I17:K17" xr:uid="{00000000-0002-0000-4000-000006000000}">
      <formula1>$R$56:$R$65</formula1>
    </dataValidation>
    <dataValidation type="list" allowBlank="1" showInputMessage="1" showErrorMessage="1" sqref="D48:F48" xr:uid="{00000000-0002-0000-4000-000007000000}">
      <formula1>"INSPECTOR DE HIDROCARBUROS, INSPECTOR DE COMBUSTIBLES"</formula1>
    </dataValidation>
  </dataValidations>
  <pageMargins left="0.39370078740157483" right="0.39370078740157483" top="0.35433070866141736" bottom="0.35433070866141736" header="0.31496062992125984" footer="0.31496062992125984"/>
  <pageSetup scale="8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8</vt:i4>
      </vt:variant>
      <vt:variant>
        <vt:lpstr>Gráficos</vt:lpstr>
      </vt:variant>
      <vt:variant>
        <vt:i4>57</vt:i4>
      </vt:variant>
      <vt:variant>
        <vt:lpstr>Rangos con nombre</vt:lpstr>
      </vt:variant>
      <vt:variant>
        <vt:i4>3</vt:i4>
      </vt:variant>
    </vt:vector>
  </HeadingPairs>
  <TitlesOfParts>
    <vt:vector size="68" baseType="lpstr">
      <vt:lpstr>Titulo</vt:lpstr>
      <vt:lpstr>Base de Datos</vt:lpstr>
      <vt:lpstr>ANALITO</vt:lpstr>
      <vt:lpstr>OTI-LAB-FO-05 TK</vt:lpstr>
      <vt:lpstr>Busqueda</vt:lpstr>
      <vt:lpstr>CARROTANQUE</vt:lpstr>
      <vt:lpstr>Base de Datos ctk</vt:lpstr>
      <vt:lpstr>OTI-LAB-FO-05 CTK</vt:lpstr>
      <vt:lpstr>Gráfico10</vt:lpstr>
      <vt:lpstr>Gráfico9</vt:lpstr>
      <vt:lpstr>Gráfico8</vt:lpstr>
      <vt:lpstr>Gráfico7</vt:lpstr>
      <vt:lpstr>Gráfico6</vt:lpstr>
      <vt:lpstr>Gráfico5</vt:lpstr>
      <vt:lpstr>Gráfico4</vt:lpstr>
      <vt:lpstr>Gráfico3</vt:lpstr>
      <vt:lpstr>Gráfico2</vt:lpstr>
      <vt:lpstr>Gráfico1</vt:lpstr>
      <vt:lpstr>Gráfico57</vt:lpstr>
      <vt:lpstr>Gráfico56</vt:lpstr>
      <vt:lpstr>Gráfico55</vt:lpstr>
      <vt:lpstr>Gráfico54</vt:lpstr>
      <vt:lpstr>Gráfico53</vt:lpstr>
      <vt:lpstr>Gráfico52</vt:lpstr>
      <vt:lpstr>Gráfico51</vt:lpstr>
      <vt:lpstr>Gráfico50</vt:lpstr>
      <vt:lpstr>Gráfico49</vt:lpstr>
      <vt:lpstr>Gráfico48</vt:lpstr>
      <vt:lpstr>Gráfico47</vt:lpstr>
      <vt:lpstr>Gráfico46</vt:lpstr>
      <vt:lpstr>Gráfico45</vt:lpstr>
      <vt:lpstr>Gráfico44</vt:lpstr>
      <vt:lpstr>Gráfico43</vt:lpstr>
      <vt:lpstr>Gráfico42</vt:lpstr>
      <vt:lpstr>Gráfico41</vt:lpstr>
      <vt:lpstr>Gráfico40</vt:lpstr>
      <vt:lpstr>Gráfico39</vt:lpstr>
      <vt:lpstr>Gráfico38</vt:lpstr>
      <vt:lpstr>Gráfico37</vt:lpstr>
      <vt:lpstr>Gráfico36</vt:lpstr>
      <vt:lpstr>Gráfico35</vt:lpstr>
      <vt:lpstr>Gráfico34</vt:lpstr>
      <vt:lpstr>Gráfico33</vt:lpstr>
      <vt:lpstr>Gráfico32</vt:lpstr>
      <vt:lpstr>Gráfico31</vt:lpstr>
      <vt:lpstr>Gráfico30</vt:lpstr>
      <vt:lpstr>Gráfico29</vt:lpstr>
      <vt:lpstr>Gráfico28</vt:lpstr>
      <vt:lpstr>Gráfico27</vt:lpstr>
      <vt:lpstr>Gráfico26</vt:lpstr>
      <vt:lpstr>Gráfico25</vt:lpstr>
      <vt:lpstr>Gráfico24</vt:lpstr>
      <vt:lpstr>Gráfico23</vt:lpstr>
      <vt:lpstr>Gráfico22</vt:lpstr>
      <vt:lpstr>Gráfico21</vt:lpstr>
      <vt:lpstr>Gráfico20</vt:lpstr>
      <vt:lpstr>Gráfico19</vt:lpstr>
      <vt:lpstr>Gráfico18</vt:lpstr>
      <vt:lpstr>Gráfico17</vt:lpstr>
      <vt:lpstr>Gráfico16</vt:lpstr>
      <vt:lpstr>Gráfico15</vt:lpstr>
      <vt:lpstr>Gráfico14</vt:lpstr>
      <vt:lpstr>Gráfico13</vt:lpstr>
      <vt:lpstr>Gráfico12</vt:lpstr>
      <vt:lpstr>Gráfico11</vt:lpstr>
      <vt:lpstr>'OTI-LAB-FO-05 CTK'!Área_de_impresión</vt:lpstr>
      <vt:lpstr>'OTI-LAB-FO-05 TK'!Área_de_impresión</vt:lpstr>
      <vt:lpstr>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Inspector.CPF2</dc:creator>
  <cp:lastModifiedBy>Willy Corzo</cp:lastModifiedBy>
  <cp:lastPrinted>2018-06-27T20:31:16Z</cp:lastPrinted>
  <dcterms:created xsi:type="dcterms:W3CDTF">2017-03-17T15:31:12Z</dcterms:created>
  <dcterms:modified xsi:type="dcterms:W3CDTF">2019-08-16T20:55:09Z</dcterms:modified>
</cp:coreProperties>
</file>