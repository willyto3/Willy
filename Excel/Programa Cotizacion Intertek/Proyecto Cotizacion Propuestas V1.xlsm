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Cotizacion\"/>
    </mc:Choice>
  </mc:AlternateContent>
  <xr:revisionPtr revIDLastSave="0" documentId="13_ncr:1_{F67C4E0A-749F-45E1-9399-E40F001652D9}" xr6:coauthVersionLast="44" xr6:coauthVersionMax="44" xr10:uidLastSave="{00000000-0000-0000-0000-000000000000}"/>
  <bookViews>
    <workbookView xWindow="-120" yWindow="-120" windowWidth="20730" windowHeight="11160" activeTab="1" xr2:uid="{D1D24C11-FB44-4598-8CB4-DD964F89F5A5}"/>
  </bookViews>
  <sheets>
    <sheet name="API 1298B" sheetId="1" r:id="rId1"/>
    <sheet name="API 4377" sheetId="3" r:id="rId2"/>
    <sheet name="BD Precio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6" i="1" l="1"/>
  <c r="M16" i="1" s="1"/>
  <c r="O16" i="1" s="1"/>
  <c r="E8" i="3" l="1"/>
  <c r="L29" i="1" l="1"/>
  <c r="M29" i="1" s="1"/>
  <c r="O29" i="1" s="1"/>
  <c r="L28" i="1"/>
  <c r="M28" i="1" s="1"/>
  <c r="O28" i="1" s="1"/>
  <c r="L27" i="1"/>
  <c r="M27" i="1" s="1"/>
  <c r="O27" i="1" s="1"/>
  <c r="L28" i="3"/>
  <c r="M28" i="3" s="1"/>
  <c r="O28" i="3" s="1"/>
  <c r="L27" i="3" l="1"/>
  <c r="M27" i="3" s="1"/>
  <c r="O27" i="3" s="1"/>
  <c r="E29" i="3"/>
  <c r="F29" i="3" s="1"/>
  <c r="H29" i="3" s="1"/>
  <c r="L26" i="3"/>
  <c r="M26" i="3" s="1"/>
  <c r="O26" i="3" s="1"/>
  <c r="E28" i="3"/>
  <c r="F28" i="3" s="1"/>
  <c r="H28" i="3" s="1"/>
  <c r="E27" i="3"/>
  <c r="F27" i="3" s="1"/>
  <c r="H27" i="3" s="1"/>
  <c r="E26" i="3"/>
  <c r="F26" i="3" s="1"/>
  <c r="H26" i="3" s="1"/>
  <c r="L23" i="3"/>
  <c r="K23" i="3"/>
  <c r="E25" i="3"/>
  <c r="F25" i="3" s="1"/>
  <c r="H25" i="3" s="1"/>
  <c r="L22" i="3"/>
  <c r="K22" i="3"/>
  <c r="E24" i="3"/>
  <c r="F24" i="3" s="1"/>
  <c r="H24" i="3" s="1"/>
  <c r="L21" i="3"/>
  <c r="M21" i="3" s="1"/>
  <c r="O21" i="3" s="1"/>
  <c r="K21" i="3"/>
  <c r="E23" i="3"/>
  <c r="F23" i="3" s="1"/>
  <c r="H23" i="3" s="1"/>
  <c r="L20" i="3"/>
  <c r="K20" i="3"/>
  <c r="E22" i="3"/>
  <c r="F22" i="3" s="1"/>
  <c r="H22" i="3" s="1"/>
  <c r="L19" i="3"/>
  <c r="K19" i="3"/>
  <c r="E21" i="3"/>
  <c r="F21" i="3" s="1"/>
  <c r="H21" i="3" s="1"/>
  <c r="L18" i="3"/>
  <c r="M18" i="3" s="1"/>
  <c r="O18" i="3" s="1"/>
  <c r="K18" i="3"/>
  <c r="F20" i="3"/>
  <c r="H20" i="3" s="1"/>
  <c r="E20" i="3"/>
  <c r="E19" i="3"/>
  <c r="F19" i="3" s="1"/>
  <c r="H19" i="3" s="1"/>
  <c r="E18" i="3"/>
  <c r="F18" i="3" s="1"/>
  <c r="H18" i="3" s="1"/>
  <c r="L15" i="3"/>
  <c r="M15" i="3" s="1"/>
  <c r="O15" i="3" s="1"/>
  <c r="E17" i="3"/>
  <c r="F17" i="3" s="1"/>
  <c r="H17" i="3" s="1"/>
  <c r="L14" i="3"/>
  <c r="M14" i="3" s="1"/>
  <c r="O14" i="3" s="1"/>
  <c r="E16" i="3"/>
  <c r="F16" i="3" s="1"/>
  <c r="H16" i="3" s="1"/>
  <c r="L13" i="3"/>
  <c r="M13" i="3" s="1"/>
  <c r="O13" i="3" s="1"/>
  <c r="E15" i="3"/>
  <c r="F15" i="3" s="1"/>
  <c r="H15" i="3" s="1"/>
  <c r="L12" i="3"/>
  <c r="M12" i="3" s="1"/>
  <c r="O12" i="3" s="1"/>
  <c r="E14" i="3"/>
  <c r="F14" i="3" s="1"/>
  <c r="H14" i="3" s="1"/>
  <c r="E13" i="3"/>
  <c r="F13" i="3" s="1"/>
  <c r="H13" i="3" s="1"/>
  <c r="E12" i="3"/>
  <c r="F12" i="3" s="1"/>
  <c r="H12" i="3" s="1"/>
  <c r="L11" i="3"/>
  <c r="M11" i="3" s="1"/>
  <c r="O11" i="3" s="1"/>
  <c r="E11" i="3"/>
  <c r="F11" i="3" s="1"/>
  <c r="H11" i="3" s="1"/>
  <c r="L10" i="3"/>
  <c r="M10" i="3" s="1"/>
  <c r="O10" i="3" s="1"/>
  <c r="E10" i="3"/>
  <c r="F10" i="3" s="1"/>
  <c r="H10" i="3" s="1"/>
  <c r="L9" i="3"/>
  <c r="M9" i="3" s="1"/>
  <c r="O9" i="3" s="1"/>
  <c r="E9" i="3"/>
  <c r="F9" i="3" s="1"/>
  <c r="H9" i="3" s="1"/>
  <c r="L8" i="3"/>
  <c r="M8" i="3" s="1"/>
  <c r="O8" i="3" s="1"/>
  <c r="F8" i="3"/>
  <c r="M20" i="3" l="1"/>
  <c r="O20" i="3" s="1"/>
  <c r="M22" i="3"/>
  <c r="O22" i="3" s="1"/>
  <c r="M23" i="3"/>
  <c r="O23" i="3" s="1"/>
  <c r="M19" i="3"/>
  <c r="O19" i="3" s="1"/>
  <c r="H8" i="3"/>
  <c r="L20" i="1"/>
  <c r="L21" i="1"/>
  <c r="L22" i="1"/>
  <c r="L23" i="1"/>
  <c r="L24" i="1"/>
  <c r="L19" i="1"/>
  <c r="K23" i="1"/>
  <c r="E28" i="1"/>
  <c r="F28" i="1" s="1"/>
  <c r="H28" i="1" s="1"/>
  <c r="M23" i="1" l="1"/>
  <c r="O23" i="1" s="1"/>
  <c r="L31" i="3"/>
  <c r="E31" i="3"/>
  <c r="L9" i="1"/>
  <c r="M9" i="1" s="1"/>
  <c r="O9" i="1" s="1"/>
  <c r="L10" i="1"/>
  <c r="M10" i="1" s="1"/>
  <c r="O10" i="1" s="1"/>
  <c r="L11" i="1"/>
  <c r="M11" i="1" s="1"/>
  <c r="O11" i="1" s="1"/>
  <c r="L12" i="1"/>
  <c r="M12" i="1" s="1"/>
  <c r="O12" i="1" s="1"/>
  <c r="L13" i="1"/>
  <c r="M13" i="1" s="1"/>
  <c r="O13" i="1" s="1"/>
  <c r="L14" i="1"/>
  <c r="M14" i="1" s="1"/>
  <c r="O14" i="1" s="1"/>
  <c r="L15" i="1"/>
  <c r="M15" i="1" s="1"/>
  <c r="O15" i="1" s="1"/>
  <c r="L8" i="1"/>
  <c r="M8" i="1" s="1"/>
  <c r="O8" i="1" s="1"/>
  <c r="E25" i="1"/>
  <c r="F25" i="1" s="1"/>
  <c r="H25" i="1" s="1"/>
  <c r="E26" i="1"/>
  <c r="F26" i="1" s="1"/>
  <c r="H26" i="1" s="1"/>
  <c r="E27" i="1"/>
  <c r="F27" i="1" s="1"/>
  <c r="H27" i="1" s="1"/>
  <c r="E29" i="1"/>
  <c r="F29" i="1" s="1"/>
  <c r="H29" i="1" s="1"/>
  <c r="E24" i="1"/>
  <c r="F24" i="1" s="1"/>
  <c r="H24" i="1" s="1"/>
  <c r="E17" i="1"/>
  <c r="F17" i="1" s="1"/>
  <c r="H17" i="1" s="1"/>
  <c r="E18" i="1"/>
  <c r="E19" i="1"/>
  <c r="F19" i="1" s="1"/>
  <c r="H19" i="1" s="1"/>
  <c r="E20" i="1"/>
  <c r="F20" i="1" s="1"/>
  <c r="H20" i="1" s="1"/>
  <c r="E21" i="1"/>
  <c r="F21" i="1" s="1"/>
  <c r="H21" i="1" s="1"/>
  <c r="E22" i="1"/>
  <c r="E23" i="1"/>
  <c r="F23" i="1" s="1"/>
  <c r="H23" i="1" s="1"/>
  <c r="E16" i="1"/>
  <c r="F16" i="1" s="1"/>
  <c r="H16" i="1" s="1"/>
  <c r="E9" i="1"/>
  <c r="F9" i="1" s="1"/>
  <c r="H9" i="1" s="1"/>
  <c r="E10" i="1"/>
  <c r="E11" i="1"/>
  <c r="F11" i="1" s="1"/>
  <c r="H11" i="1" s="1"/>
  <c r="E12" i="1"/>
  <c r="F12" i="1" s="1"/>
  <c r="H12" i="1" s="1"/>
  <c r="E13" i="1"/>
  <c r="F13" i="1" s="1"/>
  <c r="H13" i="1" s="1"/>
  <c r="E14" i="1"/>
  <c r="F14" i="1" s="1"/>
  <c r="H14" i="1" s="1"/>
  <c r="E15" i="1"/>
  <c r="F15" i="1" s="1"/>
  <c r="H15" i="1" s="1"/>
  <c r="E8" i="1"/>
  <c r="F8" i="1" s="1"/>
  <c r="H8" i="1" s="1"/>
  <c r="K24" i="1"/>
  <c r="K22" i="1"/>
  <c r="K21" i="1"/>
  <c r="M21" i="1" s="1"/>
  <c r="O21" i="1" s="1"/>
  <c r="K20" i="1"/>
  <c r="K19" i="1"/>
  <c r="M19" i="1" s="1"/>
  <c r="O19" i="1" s="1"/>
  <c r="F18" i="1"/>
  <c r="H18" i="1" s="1"/>
  <c r="F22" i="1"/>
  <c r="H22" i="1" s="1"/>
  <c r="F10" i="1"/>
  <c r="H10" i="1" s="1"/>
  <c r="M22" i="1" l="1"/>
  <c r="O22" i="1" s="1"/>
  <c r="M20" i="1"/>
  <c r="O20" i="1" s="1"/>
  <c r="M24" i="1"/>
  <c r="O24" i="1" s="1"/>
  <c r="L31" i="1" l="1"/>
  <c r="E31" i="1"/>
</calcChain>
</file>

<file path=xl/sharedStrings.xml><?xml version="1.0" encoding="utf-8"?>
<sst xmlns="http://schemas.openxmlformats.org/spreadsheetml/2006/main" count="168" uniqueCount="60">
  <si>
    <t>COSTO TOTAL</t>
  </si>
  <si>
    <t>Termometro 12F</t>
  </si>
  <si>
    <t>Baño API</t>
  </si>
  <si>
    <t>EQUIPOS</t>
  </si>
  <si>
    <t>Hidrometro 2H</t>
  </si>
  <si>
    <t>Hidrometro 3H</t>
  </si>
  <si>
    <t>Hidrometro 4H</t>
  </si>
  <si>
    <t>Hidrometro 5H</t>
  </si>
  <si>
    <t>Hidrometro 6H</t>
  </si>
  <si>
    <t>Hidrometro 7H</t>
  </si>
  <si>
    <t>Hidrometro 8H</t>
  </si>
  <si>
    <t>Hidrometro 9H</t>
  </si>
  <si>
    <t>Cantidad</t>
  </si>
  <si>
    <t>Patron Hidrometro 2H</t>
  </si>
  <si>
    <t>Patron Hidrometro 3H</t>
  </si>
  <si>
    <t>Patron Hidrometro 4H</t>
  </si>
  <si>
    <t>Patron Hidrometro 5H</t>
  </si>
  <si>
    <t>Patron Hidrometro 6H</t>
  </si>
  <si>
    <t>Patron Hidrometro 7H</t>
  </si>
  <si>
    <t>Patron Hidrometro 8H</t>
  </si>
  <si>
    <t>Patron Hidrometro 9H</t>
  </si>
  <si>
    <t>PRECIO</t>
  </si>
  <si>
    <t>PROVEEDOR</t>
  </si>
  <si>
    <t>Patron Termometro 12F</t>
  </si>
  <si>
    <t>Patron TL1A</t>
  </si>
  <si>
    <t>Costo</t>
  </si>
  <si>
    <t>Costo Total</t>
  </si>
  <si>
    <t>Depreciacion Meses</t>
  </si>
  <si>
    <t>Costo Mensual</t>
  </si>
  <si>
    <t>CALIBRACION</t>
  </si>
  <si>
    <t>Hidrometros</t>
  </si>
  <si>
    <t>FECHA COTIZACION</t>
  </si>
  <si>
    <t>VIDRERIA Y ACCESORIOS</t>
  </si>
  <si>
    <t>Probeta Vidrio 500 ml</t>
  </si>
  <si>
    <t>Probeta Plastico 500 ml</t>
  </si>
  <si>
    <t>Beacker 500 ml</t>
  </si>
  <si>
    <t>Beacker 250 ml</t>
  </si>
  <si>
    <t>Beacker 100 ml</t>
  </si>
  <si>
    <t>Horno de Secado</t>
  </si>
  <si>
    <t>Beacker 1000 ml</t>
  </si>
  <si>
    <t>Calibracion y Mantenimiento</t>
  </si>
  <si>
    <t>Termometro de Vidrio</t>
  </si>
  <si>
    <t>Termometro Digital</t>
  </si>
  <si>
    <t>Reactivos</t>
  </si>
  <si>
    <t>Wypes 25 kg</t>
  </si>
  <si>
    <t>Jeringas Vidrio 20 ml</t>
  </si>
  <si>
    <t>Jeringas Plastica 20 ml</t>
  </si>
  <si>
    <t>Jeringas Plastica 10 ml</t>
  </si>
  <si>
    <t>Guantes proteccion termica</t>
  </si>
  <si>
    <t>Varsol Galon</t>
  </si>
  <si>
    <t>REACTIVOS</t>
  </si>
  <si>
    <t>COSTO TOTAL MENSUAL</t>
  </si>
  <si>
    <t>GRAVEDAD API ASTM D1298</t>
  </si>
  <si>
    <t>Cronometro</t>
  </si>
  <si>
    <t>OBSERVACIONES</t>
  </si>
  <si>
    <t>Abrir Norma</t>
  </si>
  <si>
    <t>AGUA POR KARL FISCHER ASTM D4377</t>
  </si>
  <si>
    <t>Rompedor Universal</t>
  </si>
  <si>
    <t>Karl Fischer</t>
  </si>
  <si>
    <t>Gradilla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</si>
</sst>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$&quot;\ * #,##0_-;\-&quot;$&quot;\ * #,##0_-;_-&quot;$&quot;\ * &quot;-&quot;_-;_-@_-"/>
    <numFmt numFmtId="164" formatCode="_(&quot;$&quot;\ * #,##0.00_);_(&quot;$&quot;\ * \(#,##0.00\);_(&quot;$&quot;\ * &quot;-&quot;??_);_(@_)"/>
    <numFmt numFmtId="165" formatCode="[$$-240A]\ #,##0"/>
    <numFmt numFmtId="166" formatCode="&quot;$&quot;\ #,##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2" fontId="1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1" fillId="0" borderId="0"/>
  </cellStyleXfs>
  <cellXfs count="112">
    <xf numFmtId="0" fontId="0" fillId="0" borderId="0" xfId="0"/>
    <xf numFmtId="0" fontId="4" fillId="0" borderId="0" xfId="2" applyFont="1" applyAlignment="1">
      <alignment horizontal="center" vertical="center" wrapText="1"/>
    </xf>
    <xf numFmtId="165" fontId="4" fillId="0" borderId="0" xfId="3" applyNumberFormat="1" applyFont="1" applyAlignment="1">
      <alignment horizontal="center" vertical="center" wrapText="1"/>
    </xf>
    <xf numFmtId="0" fontId="0" fillId="0" borderId="0" xfId="0" applyAlignment="1"/>
    <xf numFmtId="0" fontId="0" fillId="0" borderId="6" xfId="0" applyBorder="1"/>
    <xf numFmtId="166" fontId="0" fillId="0" borderId="6" xfId="0" applyNumberFormat="1" applyBorder="1"/>
    <xf numFmtId="0" fontId="0" fillId="0" borderId="5" xfId="0" applyBorder="1" applyAlignment="1"/>
    <xf numFmtId="0" fontId="0" fillId="0" borderId="7" xfId="0" applyBorder="1"/>
    <xf numFmtId="0" fontId="0" fillId="0" borderId="5" xfId="0" applyFill="1" applyBorder="1" applyAlignment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5" xfId="0" applyBorder="1" applyAlignment="1"/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5" xfId="0" applyBorder="1"/>
    <xf numFmtId="166" fontId="0" fillId="0" borderId="13" xfId="0" applyNumberFormat="1" applyBorder="1"/>
    <xf numFmtId="166" fontId="0" fillId="0" borderId="7" xfId="0" applyNumberFormat="1" applyBorder="1"/>
    <xf numFmtId="166" fontId="0" fillId="0" borderId="11" xfId="0" applyNumberFormat="1" applyBorder="1"/>
    <xf numFmtId="166" fontId="0" fillId="0" borderId="12" xfId="0" applyNumberFormat="1" applyBorder="1"/>
    <xf numFmtId="166" fontId="0" fillId="0" borderId="14" xfId="0" applyNumberFormat="1" applyBorder="1"/>
    <xf numFmtId="0" fontId="2" fillId="0" borderId="17" xfId="0" applyFont="1" applyBorder="1" applyAlignment="1">
      <alignment vertical="center"/>
    </xf>
    <xf numFmtId="0" fontId="2" fillId="0" borderId="17" xfId="0" applyFont="1" applyBorder="1" applyAlignment="1">
      <alignment vertical="center" wrapText="1"/>
    </xf>
    <xf numFmtId="0" fontId="2" fillId="0" borderId="18" xfId="0" applyFont="1" applyBorder="1" applyAlignment="1">
      <alignment vertical="center"/>
    </xf>
    <xf numFmtId="0" fontId="0" fillId="0" borderId="0" xfId="0" applyBorder="1"/>
    <xf numFmtId="0" fontId="5" fillId="0" borderId="0" xfId="0" applyFont="1" applyAlignment="1">
      <alignment vertical="center"/>
    </xf>
    <xf numFmtId="0" fontId="2" fillId="0" borderId="16" xfId="0" applyFont="1" applyFill="1" applyBorder="1" applyAlignment="1">
      <alignment vertical="center"/>
    </xf>
    <xf numFmtId="0" fontId="0" fillId="0" borderId="5" xfId="0" applyFill="1" applyBorder="1"/>
    <xf numFmtId="0" fontId="0" fillId="0" borderId="10" xfId="0" applyFill="1" applyBorder="1"/>
    <xf numFmtId="0" fontId="0" fillId="0" borderId="18" xfId="0" applyBorder="1" applyAlignment="1">
      <alignment wrapText="1"/>
    </xf>
    <xf numFmtId="0" fontId="6" fillId="0" borderId="0" xfId="0" applyFont="1" applyAlignment="1">
      <alignment vertical="center"/>
    </xf>
    <xf numFmtId="42" fontId="0" fillId="0" borderId="6" xfId="1" applyFont="1" applyBorder="1"/>
    <xf numFmtId="42" fontId="0" fillId="0" borderId="13" xfId="1" applyFont="1" applyBorder="1" applyAlignment="1"/>
    <xf numFmtId="42" fontId="0" fillId="0" borderId="6" xfId="1" applyFont="1" applyBorder="1" applyAlignment="1"/>
    <xf numFmtId="42" fontId="0" fillId="0" borderId="11" xfId="1" applyFont="1" applyBorder="1"/>
    <xf numFmtId="42" fontId="0" fillId="0" borderId="13" xfId="1" applyFont="1" applyBorder="1"/>
    <xf numFmtId="0" fontId="0" fillId="0" borderId="13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1" xfId="0" applyBorder="1" applyProtection="1">
      <protection locked="0"/>
    </xf>
    <xf numFmtId="166" fontId="0" fillId="0" borderId="23" xfId="0" applyNumberFormat="1" applyBorder="1"/>
    <xf numFmtId="0" fontId="0" fillId="0" borderId="22" xfId="0" applyBorder="1"/>
    <xf numFmtId="0" fontId="0" fillId="0" borderId="23" xfId="0" applyBorder="1"/>
    <xf numFmtId="0" fontId="2" fillId="0" borderId="26" xfId="0" applyFont="1" applyFill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7" xfId="0" applyFont="1" applyBorder="1" applyAlignment="1">
      <alignment vertical="center" wrapText="1"/>
    </xf>
    <xf numFmtId="0" fontId="2" fillId="0" borderId="28" xfId="0" applyFont="1" applyBorder="1" applyAlignment="1">
      <alignment vertical="center"/>
    </xf>
    <xf numFmtId="0" fontId="0" fillId="0" borderId="29" xfId="0" applyBorder="1"/>
    <xf numFmtId="0" fontId="0" fillId="0" borderId="30" xfId="0" applyBorder="1" applyProtection="1">
      <protection locked="0"/>
    </xf>
    <xf numFmtId="166" fontId="0" fillId="0" borderId="30" xfId="0" applyNumberFormat="1" applyBorder="1"/>
    <xf numFmtId="0" fontId="0" fillId="0" borderId="31" xfId="0" applyNumberFormat="1" applyBorder="1"/>
    <xf numFmtId="166" fontId="0" fillId="0" borderId="31" xfId="0" applyNumberFormat="1" applyBorder="1"/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left"/>
    </xf>
    <xf numFmtId="0" fontId="0" fillId="0" borderId="13" xfId="0" applyBorder="1" applyAlignment="1">
      <alignment horizontal="left"/>
    </xf>
    <xf numFmtId="0" fontId="6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9" xfId="0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66" fontId="7" fillId="0" borderId="19" xfId="0" applyNumberFormat="1" applyFont="1" applyBorder="1" applyAlignment="1">
      <alignment horizontal="right" vertical="center"/>
    </xf>
    <xf numFmtId="166" fontId="7" fillId="0" borderId="2" xfId="0" applyNumberFormat="1" applyFont="1" applyBorder="1" applyAlignment="1">
      <alignment horizontal="right" vertical="center"/>
    </xf>
    <xf numFmtId="166" fontId="7" fillId="0" borderId="20" xfId="0" applyNumberFormat="1" applyFont="1" applyBorder="1" applyAlignment="1">
      <alignment horizontal="right" vertical="center"/>
    </xf>
    <xf numFmtId="166" fontId="7" fillId="0" borderId="9" xfId="0" applyNumberFormat="1" applyFont="1" applyBorder="1" applyAlignment="1">
      <alignment horizontal="right" vertic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9" fillId="0" borderId="19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20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</cellXfs>
  <cellStyles count="5">
    <cellStyle name="Moneda [0]" xfId="1" builtinId="7"/>
    <cellStyle name="Moneda 2" xfId="3" xr:uid="{3D9350C1-9B1A-422C-8B16-366644690626}"/>
    <cellStyle name="Normal" xfId="0" builtinId="0"/>
    <cellStyle name="Normal 4" xfId="4" xr:uid="{89F353EC-6410-4966-9B22-2738159F2CE7}"/>
    <cellStyle name="Normal 43" xfId="2" xr:uid="{F57C7C74-B401-441A-A53F-117D4834854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2</xdr:row>
      <xdr:rowOff>0</xdr:rowOff>
    </xdr:from>
    <xdr:to>
      <xdr:col>12</xdr:col>
      <xdr:colOff>304800</xdr:colOff>
      <xdr:row>3</xdr:row>
      <xdr:rowOff>114300</xdr:rowOff>
    </xdr:to>
    <xdr:sp macro="" textlink="">
      <xdr:nvSpPr>
        <xdr:cNvPr id="1034" name="AutoShape 10" descr="Resultado de imagen para intertek imagenes">
          <a:extLst>
            <a:ext uri="{FF2B5EF4-FFF2-40B4-BE49-F238E27FC236}">
              <a16:creationId xmlns:a16="http://schemas.microsoft.com/office/drawing/2014/main" id="{70952A76-AA51-48D2-8494-C51B542E36BB}"/>
            </a:ext>
          </a:extLst>
        </xdr:cNvPr>
        <xdr:cNvSpPr>
          <a:spLocks noChangeAspect="1" noChangeArrowheads="1"/>
        </xdr:cNvSpPr>
      </xdr:nvSpPr>
      <xdr:spPr bwMode="auto">
        <a:xfrm>
          <a:off x="1005840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57150</xdr:colOff>
      <xdr:row>0</xdr:row>
      <xdr:rowOff>114301</xdr:rowOff>
    </xdr:from>
    <xdr:to>
      <xdr:col>5</xdr:col>
      <xdr:colOff>714375</xdr:colOff>
      <xdr:row>5</xdr:row>
      <xdr:rowOff>19050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D648A81-D761-4533-99E9-B1440DE306C8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14301"/>
          <a:ext cx="3914775" cy="86677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11</xdr:col>
      <xdr:colOff>2</xdr:colOff>
      <xdr:row>1</xdr:row>
      <xdr:rowOff>9528</xdr:rowOff>
    </xdr:from>
    <xdr:to>
      <xdr:col>11</xdr:col>
      <xdr:colOff>742950</xdr:colOff>
      <xdr:row>4</xdr:row>
      <xdr:rowOff>166938</xdr:rowOff>
    </xdr:to>
    <xdr:pic>
      <xdr:nvPicPr>
        <xdr:cNvPr id="6" name="Imagen 5" descr="Resultado de imagen para astm">
          <a:extLst>
            <a:ext uri="{FF2B5EF4-FFF2-40B4-BE49-F238E27FC236}">
              <a16:creationId xmlns:a16="http://schemas.microsoft.com/office/drawing/2014/main" id="{68BD6BE6-9410-40BE-9CFE-9E2434380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43927" y="209553"/>
          <a:ext cx="742948" cy="7289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9526</xdr:colOff>
      <xdr:row>1</xdr:row>
      <xdr:rowOff>9525</xdr:rowOff>
    </xdr:from>
    <xdr:to>
      <xdr:col>14</xdr:col>
      <xdr:colOff>834030</xdr:colOff>
      <xdr:row>4</xdr:row>
      <xdr:rowOff>171450</xdr:rowOff>
    </xdr:to>
    <xdr:pic macro="[0]!AbrirNorma">
      <xdr:nvPicPr>
        <xdr:cNvPr id="7" name="Imagen 6" descr="Resultado de imagen para imagen pdf">
          <a:extLst>
            <a:ext uri="{FF2B5EF4-FFF2-40B4-BE49-F238E27FC236}">
              <a16:creationId xmlns:a16="http://schemas.microsoft.com/office/drawing/2014/main" id="{413A44DE-979C-4FE2-B638-16AE45F2AA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63301" y="209550"/>
          <a:ext cx="824504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2</xdr:row>
      <xdr:rowOff>0</xdr:rowOff>
    </xdr:from>
    <xdr:to>
      <xdr:col>12</xdr:col>
      <xdr:colOff>304800</xdr:colOff>
      <xdr:row>3</xdr:row>
      <xdr:rowOff>114300</xdr:rowOff>
    </xdr:to>
    <xdr:sp macro="" textlink="">
      <xdr:nvSpPr>
        <xdr:cNvPr id="2" name="AutoShape 10" descr="Resultado de imagen para intertek imagenes">
          <a:extLst>
            <a:ext uri="{FF2B5EF4-FFF2-40B4-BE49-F238E27FC236}">
              <a16:creationId xmlns:a16="http://schemas.microsoft.com/office/drawing/2014/main" id="{1F1B5771-87D6-45DE-B1BB-18252CBD52CB}"/>
            </a:ext>
          </a:extLst>
        </xdr:cNvPr>
        <xdr:cNvSpPr>
          <a:spLocks noChangeAspect="1" noChangeArrowheads="1"/>
        </xdr:cNvSpPr>
      </xdr:nvSpPr>
      <xdr:spPr bwMode="auto">
        <a:xfrm>
          <a:off x="9305925" y="39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57150</xdr:colOff>
      <xdr:row>0</xdr:row>
      <xdr:rowOff>114301</xdr:rowOff>
    </xdr:from>
    <xdr:to>
      <xdr:col>5</xdr:col>
      <xdr:colOff>714375</xdr:colOff>
      <xdr:row>5</xdr:row>
      <xdr:rowOff>19050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10009B7-EE14-4B8E-B23F-34C6E67B5849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14301"/>
          <a:ext cx="3914775" cy="86677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11</xdr:col>
      <xdr:colOff>2</xdr:colOff>
      <xdr:row>1</xdr:row>
      <xdr:rowOff>9528</xdr:rowOff>
    </xdr:from>
    <xdr:to>
      <xdr:col>11</xdr:col>
      <xdr:colOff>742950</xdr:colOff>
      <xdr:row>4</xdr:row>
      <xdr:rowOff>166938</xdr:rowOff>
    </xdr:to>
    <xdr:pic>
      <xdr:nvPicPr>
        <xdr:cNvPr id="4" name="Imagen 3" descr="Resultado de imagen para astm">
          <a:extLst>
            <a:ext uri="{FF2B5EF4-FFF2-40B4-BE49-F238E27FC236}">
              <a16:creationId xmlns:a16="http://schemas.microsoft.com/office/drawing/2014/main" id="{58632A27-3236-4EE1-9403-C7F5C6B9B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43927" y="209553"/>
          <a:ext cx="742948" cy="7289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9526</xdr:colOff>
      <xdr:row>1</xdr:row>
      <xdr:rowOff>9525</xdr:rowOff>
    </xdr:from>
    <xdr:to>
      <xdr:col>14</xdr:col>
      <xdr:colOff>834030</xdr:colOff>
      <xdr:row>4</xdr:row>
      <xdr:rowOff>171450</xdr:rowOff>
    </xdr:to>
    <xdr:pic macro="[0]!AbrirNorma">
      <xdr:nvPicPr>
        <xdr:cNvPr id="5" name="Imagen 4" descr="Resultado de imagen para imagen pdf">
          <a:extLst>
            <a:ext uri="{FF2B5EF4-FFF2-40B4-BE49-F238E27FC236}">
              <a16:creationId xmlns:a16="http://schemas.microsoft.com/office/drawing/2014/main" id="{627C8B0D-E194-4146-8DEB-028D4607AE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63301" y="209550"/>
          <a:ext cx="824504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D0BBB-4347-4CB7-B9B4-AE81343955E8}">
  <sheetPr codeName="Hoja1"/>
  <dimension ref="A1:R44"/>
  <sheetViews>
    <sheetView topLeftCell="A10" zoomScaleNormal="100" workbookViewId="0">
      <selection activeCell="H34" sqref="H34"/>
    </sheetView>
  </sheetViews>
  <sheetFormatPr baseColWidth="10" defaultColWidth="0" defaultRowHeight="15" zeroHeight="1" x14ac:dyDescent="0.25"/>
  <cols>
    <col min="1" max="1" width="6" customWidth="1"/>
    <col min="2" max="3" width="11.42578125" customWidth="1"/>
    <col min="4" max="4" width="8.5703125" customWidth="1"/>
    <col min="5" max="6" width="11.42578125" customWidth="1"/>
    <col min="7" max="7" width="12.7109375" customWidth="1"/>
    <col min="8" max="8" width="14" bestFit="1" customWidth="1"/>
    <col min="9" max="9" width="6.42578125" customWidth="1"/>
    <col min="10" max="10" width="26.42578125" customWidth="1"/>
    <col min="11" max="11" width="8.28515625" customWidth="1"/>
    <col min="12" max="12" width="11.42578125" customWidth="1"/>
    <col min="13" max="13" width="15.140625" customWidth="1"/>
    <col min="14" max="14" width="12.5703125" customWidth="1"/>
    <col min="15" max="15" width="14" customWidth="1"/>
    <col min="16" max="16" width="4" customWidth="1"/>
    <col min="17" max="18" width="0" hidden="1" customWidth="1"/>
    <col min="19" max="16384" width="11.42578125" hidden="1"/>
  </cols>
  <sheetData>
    <row r="1" spans="2:15" ht="15.75" thickBot="1" x14ac:dyDescent="0.3"/>
    <row r="2" spans="2:15" ht="15" customHeight="1" x14ac:dyDescent="0.25">
      <c r="B2" s="77"/>
      <c r="C2" s="77"/>
      <c r="D2" s="77"/>
      <c r="E2" s="77"/>
      <c r="G2" s="59" t="s">
        <v>52</v>
      </c>
      <c r="H2" s="60"/>
      <c r="I2" s="60"/>
      <c r="J2" s="60"/>
      <c r="K2" s="60"/>
      <c r="L2" s="61"/>
      <c r="M2" s="68" t="s">
        <v>55</v>
      </c>
      <c r="N2" s="69"/>
      <c r="O2" s="70"/>
    </row>
    <row r="3" spans="2:15" ht="15" customHeight="1" x14ac:dyDescent="0.25">
      <c r="B3" s="77"/>
      <c r="C3" s="77"/>
      <c r="D3" s="77"/>
      <c r="E3" s="77"/>
      <c r="F3" s="28"/>
      <c r="G3" s="62"/>
      <c r="H3" s="63"/>
      <c r="I3" s="63"/>
      <c r="J3" s="63"/>
      <c r="K3" s="63"/>
      <c r="L3" s="64"/>
      <c r="M3" s="71"/>
      <c r="N3" s="72"/>
      <c r="O3" s="73"/>
    </row>
    <row r="4" spans="2:15" ht="15" customHeight="1" x14ac:dyDescent="0.25">
      <c r="B4" s="77"/>
      <c r="C4" s="77"/>
      <c r="D4" s="77"/>
      <c r="E4" s="77"/>
      <c r="F4" s="28"/>
      <c r="G4" s="62"/>
      <c r="H4" s="63"/>
      <c r="I4" s="63"/>
      <c r="J4" s="63"/>
      <c r="K4" s="63"/>
      <c r="L4" s="64"/>
      <c r="M4" s="71"/>
      <c r="N4" s="72"/>
      <c r="O4" s="73"/>
    </row>
    <row r="5" spans="2:15" ht="15" customHeight="1" thickBot="1" x14ac:dyDescent="0.3">
      <c r="B5" s="77"/>
      <c r="C5" s="77"/>
      <c r="D5" s="77"/>
      <c r="E5" s="77"/>
      <c r="F5" s="28"/>
      <c r="G5" s="65"/>
      <c r="H5" s="66"/>
      <c r="I5" s="66"/>
      <c r="J5" s="66"/>
      <c r="K5" s="66"/>
      <c r="L5" s="67"/>
      <c r="M5" s="74"/>
      <c r="N5" s="75"/>
      <c r="O5" s="76"/>
    </row>
    <row r="6" spans="2:15" ht="10.5" customHeight="1" thickBot="1" x14ac:dyDescent="0.3"/>
    <row r="7" spans="2:15" ht="30" customHeight="1" thickBot="1" x14ac:dyDescent="0.3">
      <c r="B7" s="78" t="s">
        <v>3</v>
      </c>
      <c r="C7" s="79"/>
      <c r="D7" s="24" t="s">
        <v>12</v>
      </c>
      <c r="E7" s="24" t="s">
        <v>25</v>
      </c>
      <c r="F7" s="24" t="s">
        <v>26</v>
      </c>
      <c r="G7" s="25" t="s">
        <v>27</v>
      </c>
      <c r="H7" s="26" t="s">
        <v>28</v>
      </c>
      <c r="J7" s="46" t="s">
        <v>32</v>
      </c>
      <c r="K7" s="47" t="s">
        <v>12</v>
      </c>
      <c r="L7" s="47" t="s">
        <v>25</v>
      </c>
      <c r="M7" s="47" t="s">
        <v>26</v>
      </c>
      <c r="N7" s="48" t="s">
        <v>27</v>
      </c>
      <c r="O7" s="49" t="s">
        <v>28</v>
      </c>
    </row>
    <row r="8" spans="2:15" ht="15" customHeight="1" x14ac:dyDescent="0.25">
      <c r="B8" s="80" t="s">
        <v>4</v>
      </c>
      <c r="C8" s="81"/>
      <c r="D8" s="39">
        <v>1</v>
      </c>
      <c r="E8" s="19">
        <f>VLOOKUP(B8,'BD Precios'!$B$3:$C$400,2,FALSE)</f>
        <v>250000</v>
      </c>
      <c r="F8" s="19">
        <f>E8*D8</f>
        <v>250000</v>
      </c>
      <c r="G8" s="39">
        <v>6</v>
      </c>
      <c r="H8" s="23">
        <f>F8/G8</f>
        <v>41666.666666666664</v>
      </c>
      <c r="J8" s="50" t="s">
        <v>33</v>
      </c>
      <c r="K8" s="51">
        <v>0</v>
      </c>
      <c r="L8" s="52">
        <f>VLOOKUP(J8,'BD Precios'!L3:O400,2,FALSE)</f>
        <v>1</v>
      </c>
      <c r="M8" s="52">
        <f>K8*L8</f>
        <v>0</v>
      </c>
      <c r="N8" s="51">
        <v>18</v>
      </c>
      <c r="O8" s="54">
        <f>M8/N8</f>
        <v>0</v>
      </c>
    </row>
    <row r="9" spans="2:15" ht="15" customHeight="1" x14ac:dyDescent="0.25">
      <c r="B9" s="57" t="s">
        <v>5</v>
      </c>
      <c r="C9" s="58"/>
      <c r="D9" s="40">
        <v>1</v>
      </c>
      <c r="E9" s="19">
        <f>VLOOKUP(B9,'BD Precios'!$B$3:$C$400,2,FALSE)</f>
        <v>1</v>
      </c>
      <c r="F9" s="5">
        <f t="shared" ref="F9:F29" si="0">E9*D9</f>
        <v>1</v>
      </c>
      <c r="G9" s="40">
        <v>6</v>
      </c>
      <c r="H9" s="20">
        <f t="shared" ref="H9:H29" si="1">F9/G9</f>
        <v>0.16666666666666666</v>
      </c>
      <c r="J9" s="9" t="s">
        <v>34</v>
      </c>
      <c r="K9" s="40">
        <v>0</v>
      </c>
      <c r="L9" s="5">
        <f>VLOOKUP(J9,'BD Precios'!L4:O401,2,FALSE)</f>
        <v>2</v>
      </c>
      <c r="M9" s="5">
        <f t="shared" ref="M9:M11" si="2">K9*L9</f>
        <v>0</v>
      </c>
      <c r="N9" s="40">
        <v>18</v>
      </c>
      <c r="O9" s="20">
        <f t="shared" ref="O9:O11" si="3">M9/N9</f>
        <v>0</v>
      </c>
    </row>
    <row r="10" spans="2:15" ht="15" customHeight="1" x14ac:dyDescent="0.25">
      <c r="B10" s="57" t="s">
        <v>6</v>
      </c>
      <c r="C10" s="58"/>
      <c r="D10" s="40">
        <v>0</v>
      </c>
      <c r="E10" s="19">
        <f>VLOOKUP(B10,'BD Precios'!$B$3:$C$400,2,FALSE)</f>
        <v>2</v>
      </c>
      <c r="F10" s="5">
        <f t="shared" si="0"/>
        <v>0</v>
      </c>
      <c r="G10" s="40">
        <v>6</v>
      </c>
      <c r="H10" s="20">
        <f t="shared" si="1"/>
        <v>0</v>
      </c>
      <c r="J10" s="9" t="s">
        <v>39</v>
      </c>
      <c r="K10" s="40">
        <v>0</v>
      </c>
      <c r="L10" s="5">
        <f>VLOOKUP(J10,'BD Precios'!L5:O402,2,FALSE)</f>
        <v>3</v>
      </c>
      <c r="M10" s="5">
        <f t="shared" si="2"/>
        <v>0</v>
      </c>
      <c r="N10" s="40">
        <v>18</v>
      </c>
      <c r="O10" s="20">
        <f t="shared" si="3"/>
        <v>0</v>
      </c>
    </row>
    <row r="11" spans="2:15" ht="15" customHeight="1" x14ac:dyDescent="0.25">
      <c r="B11" s="57" t="s">
        <v>7</v>
      </c>
      <c r="C11" s="58"/>
      <c r="D11" s="40">
        <v>0</v>
      </c>
      <c r="E11" s="19">
        <f>VLOOKUP(B11,'BD Precios'!$B$3:$C$400,2,FALSE)</f>
        <v>3</v>
      </c>
      <c r="F11" s="5">
        <f t="shared" si="0"/>
        <v>0</v>
      </c>
      <c r="G11" s="40">
        <v>6</v>
      </c>
      <c r="H11" s="20">
        <f t="shared" si="1"/>
        <v>0</v>
      </c>
      <c r="J11" s="9" t="s">
        <v>35</v>
      </c>
      <c r="K11" s="40">
        <v>0</v>
      </c>
      <c r="L11" s="5">
        <f>VLOOKUP(J11,'BD Precios'!L6:O403,2,FALSE)</f>
        <v>4</v>
      </c>
      <c r="M11" s="5">
        <f t="shared" si="2"/>
        <v>0</v>
      </c>
      <c r="N11" s="40">
        <v>18</v>
      </c>
      <c r="O11" s="20">
        <f t="shared" si="3"/>
        <v>0</v>
      </c>
    </row>
    <row r="12" spans="2:15" ht="15" customHeight="1" x14ac:dyDescent="0.25">
      <c r="B12" s="57" t="s">
        <v>8</v>
      </c>
      <c r="C12" s="58"/>
      <c r="D12" s="40">
        <v>0</v>
      </c>
      <c r="E12" s="19">
        <f>VLOOKUP(B12,'BD Precios'!$B$3:$C$400,2,FALSE)</f>
        <v>4</v>
      </c>
      <c r="F12" s="5">
        <f t="shared" si="0"/>
        <v>0</v>
      </c>
      <c r="G12" s="40">
        <v>6</v>
      </c>
      <c r="H12" s="20">
        <f t="shared" si="1"/>
        <v>0</v>
      </c>
      <c r="J12" s="30" t="s">
        <v>46</v>
      </c>
      <c r="K12" s="40">
        <v>0</v>
      </c>
      <c r="L12" s="5">
        <f>VLOOKUP(J12,'BD Precios'!L9:O406,2,FALSE)</f>
        <v>7</v>
      </c>
      <c r="M12" s="5">
        <f>K12*L12</f>
        <v>0</v>
      </c>
      <c r="N12" s="40">
        <v>24</v>
      </c>
      <c r="O12" s="20">
        <f>M12/N12</f>
        <v>0</v>
      </c>
    </row>
    <row r="13" spans="2:15" ht="15" customHeight="1" x14ac:dyDescent="0.25">
      <c r="B13" s="57" t="s">
        <v>9</v>
      </c>
      <c r="C13" s="58"/>
      <c r="D13" s="40">
        <v>0</v>
      </c>
      <c r="E13" s="19">
        <f>VLOOKUP(B13,'BD Precios'!$B$3:$C$400,2,FALSE)</f>
        <v>5</v>
      </c>
      <c r="F13" s="5">
        <f t="shared" si="0"/>
        <v>0</v>
      </c>
      <c r="G13" s="40">
        <v>6</v>
      </c>
      <c r="H13" s="20">
        <f t="shared" si="1"/>
        <v>0</v>
      </c>
      <c r="J13" s="30" t="s">
        <v>47</v>
      </c>
      <c r="K13" s="40">
        <v>0</v>
      </c>
      <c r="L13" s="5">
        <f>VLOOKUP(J13,'BD Precios'!L10:O407,2,FALSE)</f>
        <v>8</v>
      </c>
      <c r="M13" s="5">
        <f>K13*L13</f>
        <v>0</v>
      </c>
      <c r="N13" s="40">
        <v>36</v>
      </c>
      <c r="O13" s="20">
        <f>M13/N13</f>
        <v>0</v>
      </c>
    </row>
    <row r="14" spans="2:15" ht="15" customHeight="1" x14ac:dyDescent="0.25">
      <c r="B14" s="57" t="s">
        <v>10</v>
      </c>
      <c r="C14" s="58"/>
      <c r="D14" s="40">
        <v>0</v>
      </c>
      <c r="E14" s="19">
        <f>VLOOKUP(B14,'BD Precios'!$B$3:$C$400,2,FALSE)</f>
        <v>6</v>
      </c>
      <c r="F14" s="5">
        <f t="shared" si="0"/>
        <v>0</v>
      </c>
      <c r="G14" s="40">
        <v>6</v>
      </c>
      <c r="H14" s="20">
        <f t="shared" si="1"/>
        <v>0</v>
      </c>
      <c r="J14" s="30" t="s">
        <v>45</v>
      </c>
      <c r="K14" s="40">
        <v>0</v>
      </c>
      <c r="L14" s="5">
        <f>VLOOKUP(J14,'BD Precios'!L11:O408,2,FALSE)</f>
        <v>9</v>
      </c>
      <c r="M14" s="5">
        <f>K14*L14</f>
        <v>0</v>
      </c>
      <c r="N14" s="40">
        <v>36</v>
      </c>
      <c r="O14" s="20">
        <f>M14/N14</f>
        <v>0</v>
      </c>
    </row>
    <row r="15" spans="2:15" ht="15" customHeight="1" x14ac:dyDescent="0.25">
      <c r="B15" s="57" t="s">
        <v>11</v>
      </c>
      <c r="C15" s="58"/>
      <c r="D15" s="40">
        <v>0</v>
      </c>
      <c r="E15" s="19">
        <f>VLOOKUP(B15,'BD Precios'!$B$3:$C$400,2,FALSE)</f>
        <v>7</v>
      </c>
      <c r="F15" s="5">
        <f t="shared" si="0"/>
        <v>0</v>
      </c>
      <c r="G15" s="40">
        <v>6</v>
      </c>
      <c r="H15" s="20">
        <f t="shared" si="1"/>
        <v>0</v>
      </c>
      <c r="J15" s="30" t="s">
        <v>48</v>
      </c>
      <c r="K15" s="40">
        <v>0</v>
      </c>
      <c r="L15" s="5">
        <f>VLOOKUP(J15,'BD Precios'!L12:O409,2,FALSE)</f>
        <v>10</v>
      </c>
      <c r="M15" s="5">
        <f>K15*L15</f>
        <v>0</v>
      </c>
      <c r="N15" s="40">
        <v>48</v>
      </c>
      <c r="O15" s="20">
        <f>M15/N15</f>
        <v>0</v>
      </c>
    </row>
    <row r="16" spans="2:15" ht="15" customHeight="1" thickBot="1" x14ac:dyDescent="0.3">
      <c r="B16" s="57" t="s">
        <v>13</v>
      </c>
      <c r="C16" s="58"/>
      <c r="D16" s="40">
        <v>1</v>
      </c>
      <c r="E16" s="19">
        <f>VLOOKUP(B8,'BD Precios'!$B$3:$C$400,2,FALSE)</f>
        <v>250000</v>
      </c>
      <c r="F16" s="5">
        <f t="shared" si="0"/>
        <v>250000</v>
      </c>
      <c r="G16" s="40">
        <v>12</v>
      </c>
      <c r="H16" s="20">
        <f t="shared" si="1"/>
        <v>20833.333333333332</v>
      </c>
      <c r="J16" s="31" t="s">
        <v>59</v>
      </c>
      <c r="K16" s="41">
        <v>0</v>
      </c>
      <c r="L16" s="21">
        <f>VLOOKUP(J16,'BD Precios'!L13:O410,2,FALSE)</f>
        <v>13</v>
      </c>
      <c r="M16" s="21">
        <f>K16*L16</f>
        <v>0</v>
      </c>
      <c r="N16" s="41">
        <v>48</v>
      </c>
      <c r="O16" s="22">
        <f>M16/N16</f>
        <v>0</v>
      </c>
    </row>
    <row r="17" spans="2:18" ht="15" customHeight="1" thickBot="1" x14ac:dyDescent="0.3">
      <c r="B17" s="57" t="s">
        <v>14</v>
      </c>
      <c r="C17" s="58"/>
      <c r="D17" s="40">
        <v>1</v>
      </c>
      <c r="E17" s="19">
        <f>VLOOKUP(B9,'BD Precios'!$B$3:$C$400,2,FALSE)</f>
        <v>1</v>
      </c>
      <c r="F17" s="5">
        <f t="shared" si="0"/>
        <v>1</v>
      </c>
      <c r="G17" s="40">
        <v>12</v>
      </c>
      <c r="H17" s="20">
        <f t="shared" si="1"/>
        <v>8.3333333333333329E-2</v>
      </c>
    </row>
    <row r="18" spans="2:18" ht="15" customHeight="1" thickBot="1" x14ac:dyDescent="0.3">
      <c r="B18" s="57" t="s">
        <v>15</v>
      </c>
      <c r="C18" s="58"/>
      <c r="D18" s="40">
        <v>0</v>
      </c>
      <c r="E18" s="19">
        <f>VLOOKUP(B10,'BD Precios'!$B$3:$C$400,2,FALSE)</f>
        <v>2</v>
      </c>
      <c r="F18" s="5">
        <f t="shared" si="0"/>
        <v>0</v>
      </c>
      <c r="G18" s="40">
        <v>12</v>
      </c>
      <c r="H18" s="20">
        <f t="shared" si="1"/>
        <v>0</v>
      </c>
      <c r="J18" s="29" t="s">
        <v>40</v>
      </c>
      <c r="K18" s="24" t="s">
        <v>12</v>
      </c>
      <c r="L18" s="24" t="s">
        <v>25</v>
      </c>
      <c r="M18" s="24" t="s">
        <v>26</v>
      </c>
      <c r="N18" s="25" t="s">
        <v>27</v>
      </c>
      <c r="O18" s="26" t="s">
        <v>28</v>
      </c>
    </row>
    <row r="19" spans="2:18" ht="15" customHeight="1" x14ac:dyDescent="0.25">
      <c r="B19" s="57" t="s">
        <v>16</v>
      </c>
      <c r="C19" s="58"/>
      <c r="D19" s="40">
        <v>0</v>
      </c>
      <c r="E19" s="19">
        <f>VLOOKUP(B11,'BD Precios'!$B$3:$C$400,2,FALSE)</f>
        <v>3</v>
      </c>
      <c r="F19" s="5">
        <f t="shared" si="0"/>
        <v>0</v>
      </c>
      <c r="G19" s="40">
        <v>12</v>
      </c>
      <c r="H19" s="20">
        <f t="shared" si="1"/>
        <v>0</v>
      </c>
      <c r="J19" s="18" t="s">
        <v>30</v>
      </c>
      <c r="K19" s="14">
        <f>SUM(D8:D23)</f>
        <v>4</v>
      </c>
      <c r="L19" s="19">
        <f>VLOOKUP(J19,'BD Precios'!$G$2:$J$205,2,FALSE)</f>
        <v>300000</v>
      </c>
      <c r="M19" s="19">
        <f>K19*L19</f>
        <v>1200000</v>
      </c>
      <c r="N19" s="39">
        <v>22</v>
      </c>
      <c r="O19" s="23">
        <f>M19/N19</f>
        <v>54545.454545454544</v>
      </c>
    </row>
    <row r="20" spans="2:18" ht="15" customHeight="1" x14ac:dyDescent="0.25">
      <c r="B20" s="57" t="s">
        <v>17</v>
      </c>
      <c r="C20" s="58"/>
      <c r="D20" s="40">
        <v>0</v>
      </c>
      <c r="E20" s="19">
        <f>VLOOKUP(B12,'BD Precios'!$B$3:$C$400,2,FALSE)</f>
        <v>4</v>
      </c>
      <c r="F20" s="5">
        <f t="shared" si="0"/>
        <v>0</v>
      </c>
      <c r="G20" s="40">
        <v>12</v>
      </c>
      <c r="H20" s="20">
        <f t="shared" si="1"/>
        <v>0</v>
      </c>
      <c r="J20" s="9" t="s">
        <v>41</v>
      </c>
      <c r="K20" s="4">
        <f>SUM(D24:D25)</f>
        <v>2</v>
      </c>
      <c r="L20" s="5">
        <f>VLOOKUP(J20,'BD Precios'!$G$2:$J$205,2,FALSE)</f>
        <v>250000</v>
      </c>
      <c r="M20" s="5">
        <f t="shared" ref="M20:M24" si="4">K20*L20</f>
        <v>500000</v>
      </c>
      <c r="N20" s="40">
        <v>36</v>
      </c>
      <c r="O20" s="20">
        <f t="shared" ref="O20:O24" si="5">M20/N20</f>
        <v>13888.888888888889</v>
      </c>
    </row>
    <row r="21" spans="2:18" ht="15" customHeight="1" x14ac:dyDescent="0.25">
      <c r="B21" s="57" t="s">
        <v>18</v>
      </c>
      <c r="C21" s="58"/>
      <c r="D21" s="40">
        <v>0</v>
      </c>
      <c r="E21" s="19">
        <f>VLOOKUP(B13,'BD Precios'!$B$3:$C$400,2,FALSE)</f>
        <v>5</v>
      </c>
      <c r="F21" s="5">
        <f t="shared" si="0"/>
        <v>0</v>
      </c>
      <c r="G21" s="40">
        <v>12</v>
      </c>
      <c r="H21" s="20">
        <f t="shared" si="1"/>
        <v>0</v>
      </c>
      <c r="J21" s="9" t="s">
        <v>42</v>
      </c>
      <c r="K21" s="4">
        <f>SUM(D26)</f>
        <v>0</v>
      </c>
      <c r="L21" s="5">
        <f>VLOOKUP(J21,'BD Precios'!$G$2:$J$205,2,FALSE)</f>
        <v>1</v>
      </c>
      <c r="M21" s="5">
        <f t="shared" si="4"/>
        <v>0</v>
      </c>
      <c r="N21" s="40">
        <v>36</v>
      </c>
      <c r="O21" s="20">
        <f t="shared" si="5"/>
        <v>0</v>
      </c>
      <c r="P21" s="2"/>
      <c r="Q21" s="1"/>
      <c r="R21" s="1"/>
    </row>
    <row r="22" spans="2:18" ht="15" customHeight="1" x14ac:dyDescent="0.25">
      <c r="B22" s="57" t="s">
        <v>19</v>
      </c>
      <c r="C22" s="58"/>
      <c r="D22" s="40">
        <v>0</v>
      </c>
      <c r="E22" s="19">
        <f>VLOOKUP(B14,'BD Precios'!$B$3:$C$400,2,FALSE)</f>
        <v>6</v>
      </c>
      <c r="F22" s="5">
        <f t="shared" si="0"/>
        <v>0</v>
      </c>
      <c r="G22" s="40">
        <v>12</v>
      </c>
      <c r="H22" s="20">
        <f t="shared" si="1"/>
        <v>0</v>
      </c>
      <c r="J22" s="9" t="s">
        <v>2</v>
      </c>
      <c r="K22" s="4">
        <f>D27</f>
        <v>1</v>
      </c>
      <c r="L22" s="5">
        <f>VLOOKUP(J22,'BD Precios'!$G$2:$J$205,2,FALSE)</f>
        <v>2</v>
      </c>
      <c r="M22" s="5">
        <f t="shared" si="4"/>
        <v>2</v>
      </c>
      <c r="N22" s="40">
        <v>36</v>
      </c>
      <c r="O22" s="20">
        <f t="shared" si="5"/>
        <v>5.5555555555555552E-2</v>
      </c>
    </row>
    <row r="23" spans="2:18" ht="15" customHeight="1" x14ac:dyDescent="0.25">
      <c r="B23" s="57" t="s">
        <v>20</v>
      </c>
      <c r="C23" s="58"/>
      <c r="D23" s="40">
        <v>0</v>
      </c>
      <c r="E23" s="19">
        <f>VLOOKUP(B15,'BD Precios'!$B$3:$C$400,2,FALSE)</f>
        <v>7</v>
      </c>
      <c r="F23" s="5">
        <f t="shared" si="0"/>
        <v>0</v>
      </c>
      <c r="G23" s="40">
        <v>12</v>
      </c>
      <c r="H23" s="20">
        <f t="shared" si="1"/>
        <v>0</v>
      </c>
      <c r="J23" s="44" t="s">
        <v>53</v>
      </c>
      <c r="K23" s="45">
        <f>D28</f>
        <v>0</v>
      </c>
      <c r="L23" s="43">
        <f>VLOOKUP(J23,'BD Precios'!$G$2:$J$205,2,FALSE)</f>
        <v>4</v>
      </c>
      <c r="M23" s="5">
        <f t="shared" si="4"/>
        <v>0</v>
      </c>
      <c r="N23" s="40">
        <v>36</v>
      </c>
      <c r="O23" s="20">
        <f t="shared" si="5"/>
        <v>0</v>
      </c>
    </row>
    <row r="24" spans="2:18" ht="15" customHeight="1" thickBot="1" x14ac:dyDescent="0.3">
      <c r="B24" s="57" t="s">
        <v>1</v>
      </c>
      <c r="C24" s="58"/>
      <c r="D24" s="40">
        <v>1</v>
      </c>
      <c r="E24" s="5">
        <f>VLOOKUP(B24,'BD Precios'!$B$3:$C$400,2,FALSE)</f>
        <v>8</v>
      </c>
      <c r="F24" s="5">
        <f t="shared" si="0"/>
        <v>8</v>
      </c>
      <c r="G24" s="40">
        <v>4</v>
      </c>
      <c r="H24" s="20">
        <f t="shared" si="1"/>
        <v>2</v>
      </c>
      <c r="J24" s="10" t="s">
        <v>38</v>
      </c>
      <c r="K24" s="11">
        <f>D29</f>
        <v>0</v>
      </c>
      <c r="L24" s="21">
        <f>VLOOKUP(J24,'BD Precios'!$G$2:$J$205,2,FALSE)</f>
        <v>3</v>
      </c>
      <c r="M24" s="21">
        <f t="shared" si="4"/>
        <v>0</v>
      </c>
      <c r="N24" s="41">
        <v>36</v>
      </c>
      <c r="O24" s="22">
        <f t="shared" si="5"/>
        <v>0</v>
      </c>
    </row>
    <row r="25" spans="2:18" ht="15" customHeight="1" thickBot="1" x14ac:dyDescent="0.3">
      <c r="B25" s="57" t="s">
        <v>23</v>
      </c>
      <c r="C25" s="58"/>
      <c r="D25" s="40">
        <v>1</v>
      </c>
      <c r="E25" s="5">
        <f>VLOOKUP(B24,'BD Precios'!$B$3:$C$400,2,FALSE)</f>
        <v>8</v>
      </c>
      <c r="F25" s="5">
        <f t="shared" si="0"/>
        <v>8</v>
      </c>
      <c r="G25" s="40">
        <v>4</v>
      </c>
      <c r="H25" s="20">
        <f t="shared" si="1"/>
        <v>2</v>
      </c>
    </row>
    <row r="26" spans="2:18" ht="15" customHeight="1" thickBot="1" x14ac:dyDescent="0.3">
      <c r="B26" s="57" t="s">
        <v>24</v>
      </c>
      <c r="C26" s="58"/>
      <c r="D26" s="40">
        <v>0</v>
      </c>
      <c r="E26" s="5">
        <f>VLOOKUP(B26,'BD Precios'!$B$3:$C$400,2,FALSE)</f>
        <v>9</v>
      </c>
      <c r="F26" s="5">
        <f t="shared" si="0"/>
        <v>0</v>
      </c>
      <c r="G26" s="40">
        <v>4</v>
      </c>
      <c r="H26" s="20">
        <f t="shared" si="1"/>
        <v>0</v>
      </c>
      <c r="J26" s="29" t="s">
        <v>43</v>
      </c>
      <c r="K26" s="24" t="s">
        <v>12</v>
      </c>
      <c r="L26" s="24" t="s">
        <v>25</v>
      </c>
      <c r="M26" s="24" t="s">
        <v>26</v>
      </c>
      <c r="N26" s="25" t="s">
        <v>27</v>
      </c>
      <c r="O26" s="26" t="s">
        <v>28</v>
      </c>
    </row>
    <row r="27" spans="2:18" ht="15" customHeight="1" x14ac:dyDescent="0.25">
      <c r="B27" s="57" t="s">
        <v>2</v>
      </c>
      <c r="C27" s="58"/>
      <c r="D27" s="40">
        <v>1</v>
      </c>
      <c r="E27" s="5">
        <f>VLOOKUP(B27,'BD Precios'!$B$3:$C$400,2,FALSE)</f>
        <v>36000000</v>
      </c>
      <c r="F27" s="5">
        <f t="shared" si="0"/>
        <v>36000000</v>
      </c>
      <c r="G27" s="40">
        <v>4</v>
      </c>
      <c r="H27" s="20">
        <f t="shared" si="1"/>
        <v>9000000</v>
      </c>
      <c r="J27" s="50" t="s">
        <v>44</v>
      </c>
      <c r="K27" s="51">
        <v>0</v>
      </c>
      <c r="L27" s="52">
        <f>VLOOKUP(J27,'BD Precios'!Q3:T400,2,FALSE)</f>
        <v>2</v>
      </c>
      <c r="M27" s="52">
        <f>K27*L27</f>
        <v>0</v>
      </c>
      <c r="N27" s="51">
        <v>24</v>
      </c>
      <c r="O27" s="53">
        <f>M27/N27</f>
        <v>0</v>
      </c>
    </row>
    <row r="28" spans="2:18" ht="15" customHeight="1" x14ac:dyDescent="0.25">
      <c r="B28" s="55" t="s">
        <v>53</v>
      </c>
      <c r="C28" s="56"/>
      <c r="D28" s="40"/>
      <c r="E28" s="43">
        <f>VLOOKUP(B28,'BD Precios'!$B$3:$C$400,2,FALSE)</f>
        <v>12</v>
      </c>
      <c r="F28" s="5">
        <f t="shared" si="0"/>
        <v>0</v>
      </c>
      <c r="G28" s="40">
        <v>4</v>
      </c>
      <c r="H28" s="20">
        <f t="shared" si="1"/>
        <v>0</v>
      </c>
      <c r="J28" s="9" t="s">
        <v>49</v>
      </c>
      <c r="K28" s="40">
        <v>0</v>
      </c>
      <c r="L28" s="5">
        <f>VLOOKUP(J28,'BD Precios'!Q3:T401,2,FALSE)</f>
        <v>1</v>
      </c>
      <c r="M28" s="5">
        <f>K28*L28</f>
        <v>0</v>
      </c>
      <c r="N28" s="40">
        <v>24</v>
      </c>
      <c r="O28" s="20">
        <f>M28/N28</f>
        <v>0</v>
      </c>
    </row>
    <row r="29" spans="2:18" ht="15" customHeight="1" thickBot="1" x14ac:dyDescent="0.3">
      <c r="B29" s="101" t="s">
        <v>38</v>
      </c>
      <c r="C29" s="102"/>
      <c r="D29" s="41">
        <v>0</v>
      </c>
      <c r="E29" s="21">
        <f>VLOOKUP(B29,'BD Precios'!$B$3:$C$400,2,FALSE)</f>
        <v>11</v>
      </c>
      <c r="F29" s="21">
        <f t="shared" si="0"/>
        <v>0</v>
      </c>
      <c r="G29" s="41">
        <v>4</v>
      </c>
      <c r="H29" s="22">
        <f t="shared" si="1"/>
        <v>0</v>
      </c>
      <c r="J29" s="10" t="s">
        <v>57</v>
      </c>
      <c r="K29" s="41">
        <v>0</v>
      </c>
      <c r="L29" s="21">
        <f>VLOOKUP(J29,'BD Precios'!Q4:T402,2,FALSE)</f>
        <v>1</v>
      </c>
      <c r="M29" s="21">
        <f>K29*L29</f>
        <v>0</v>
      </c>
      <c r="N29" s="41">
        <v>24</v>
      </c>
      <c r="O29" s="22">
        <f>M29/N29</f>
        <v>0</v>
      </c>
    </row>
    <row r="30" spans="2:18" ht="15" customHeight="1" thickBot="1" x14ac:dyDescent="0.3">
      <c r="B30" s="3"/>
      <c r="C30" s="3"/>
      <c r="D30" s="3"/>
      <c r="E30" s="3"/>
      <c r="F30" s="3"/>
      <c r="G30" s="3"/>
      <c r="H30" s="3"/>
      <c r="I30" s="33"/>
      <c r="J30" s="27"/>
      <c r="K30" s="27"/>
      <c r="L30" s="27"/>
      <c r="M30" s="27"/>
      <c r="N30" s="27"/>
      <c r="O30" s="27"/>
    </row>
    <row r="31" spans="2:18" ht="15" customHeight="1" x14ac:dyDescent="0.25">
      <c r="B31" s="82" t="s">
        <v>0</v>
      </c>
      <c r="C31" s="83"/>
      <c r="D31" s="84"/>
      <c r="E31" s="97">
        <f>SUM(F8:F29)+SUM(M8:M15)+SUM(M19:M24)+SUM(M27:M28)</f>
        <v>38200020</v>
      </c>
      <c r="F31" s="97"/>
      <c r="G31" s="97"/>
      <c r="H31" s="98"/>
      <c r="I31" s="33"/>
      <c r="J31" s="82" t="s">
        <v>51</v>
      </c>
      <c r="K31" s="84"/>
      <c r="L31" s="97">
        <f>SUM(H8:H29)+SUM(O8:O15)+SUM(O19:O24)+SUM(O27:O28)</f>
        <v>9130938.6489898991</v>
      </c>
      <c r="M31" s="97"/>
      <c r="N31" s="97"/>
      <c r="O31" s="98"/>
    </row>
    <row r="32" spans="2:18" ht="15" customHeight="1" thickBot="1" x14ac:dyDescent="0.3">
      <c r="B32" s="94"/>
      <c r="C32" s="95"/>
      <c r="D32" s="96"/>
      <c r="E32" s="99"/>
      <c r="F32" s="99"/>
      <c r="G32" s="99"/>
      <c r="H32" s="100"/>
      <c r="J32" s="94"/>
      <c r="K32" s="96"/>
      <c r="L32" s="99"/>
      <c r="M32" s="99"/>
      <c r="N32" s="99"/>
      <c r="O32" s="100"/>
    </row>
    <row r="33" spans="2:15" ht="15.75" customHeight="1" thickBot="1" x14ac:dyDescent="0.3">
      <c r="K33" s="3"/>
      <c r="L33" s="3"/>
    </row>
    <row r="34" spans="2:15" ht="21.75" thickBot="1" x14ac:dyDescent="0.3">
      <c r="B34" s="82" t="s">
        <v>54</v>
      </c>
      <c r="C34" s="83"/>
      <c r="D34" s="84"/>
      <c r="K34" s="3"/>
      <c r="L34" s="3"/>
    </row>
    <row r="35" spans="2:15" ht="22.5" customHeight="1" x14ac:dyDescent="0.25">
      <c r="B35" s="85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7"/>
    </row>
    <row r="36" spans="2:15" ht="18.75" customHeight="1" x14ac:dyDescent="0.25">
      <c r="B36" s="88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90"/>
    </row>
    <row r="37" spans="2:15" ht="19.5" customHeight="1" x14ac:dyDescent="0.25">
      <c r="B37" s="88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90"/>
    </row>
    <row r="38" spans="2:15" ht="26.25" customHeight="1" thickBot="1" x14ac:dyDescent="0.3">
      <c r="B38" s="91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3"/>
    </row>
    <row r="39" spans="2:15" x14ac:dyDescent="0.25">
      <c r="K39" s="3"/>
      <c r="L39" s="3"/>
    </row>
    <row r="40" spans="2:15" ht="4.5" customHeight="1" x14ac:dyDescent="0.25">
      <c r="K40" s="3"/>
      <c r="L40" s="3"/>
    </row>
    <row r="41" spans="2:15" hidden="1" x14ac:dyDescent="0.25">
      <c r="K41" s="3"/>
      <c r="L41" s="3"/>
    </row>
    <row r="42" spans="2:15" hidden="1" x14ac:dyDescent="0.25">
      <c r="K42" s="3"/>
      <c r="L42" s="3"/>
    </row>
    <row r="43" spans="2:15" hidden="1" x14ac:dyDescent="0.25">
      <c r="K43" s="3"/>
      <c r="L43" s="3"/>
    </row>
    <row r="44" spans="2:15" hidden="1" x14ac:dyDescent="0.25">
      <c r="K44" s="3"/>
      <c r="L44" s="3"/>
    </row>
  </sheetData>
  <sheetProtection formatCells="0" formatColumns="0" formatRows="0" insertColumns="0" insertRows="0" insertHyperlinks="0" deleteColumns="0" deleteRows="0" sort="0" autoFilter="0" pivotTables="0"/>
  <mergeCells count="32">
    <mergeCell ref="B34:D34"/>
    <mergeCell ref="B35:O38"/>
    <mergeCell ref="B14:C14"/>
    <mergeCell ref="B15:C15"/>
    <mergeCell ref="B16:C16"/>
    <mergeCell ref="B17:C17"/>
    <mergeCell ref="B18:C18"/>
    <mergeCell ref="B31:D32"/>
    <mergeCell ref="J31:K32"/>
    <mergeCell ref="E31:H32"/>
    <mergeCell ref="L31:O32"/>
    <mergeCell ref="B27:C27"/>
    <mergeCell ref="B29:C29"/>
    <mergeCell ref="B19:C19"/>
    <mergeCell ref="B20:C20"/>
    <mergeCell ref="B21:C21"/>
    <mergeCell ref="B13:C13"/>
    <mergeCell ref="G2:L5"/>
    <mergeCell ref="M2:O5"/>
    <mergeCell ref="B2:E5"/>
    <mergeCell ref="B7:C7"/>
    <mergeCell ref="B8:C8"/>
    <mergeCell ref="B9:C9"/>
    <mergeCell ref="B10:C10"/>
    <mergeCell ref="B11:C11"/>
    <mergeCell ref="B12:C12"/>
    <mergeCell ref="B28:C28"/>
    <mergeCell ref="B22:C22"/>
    <mergeCell ref="B23:C23"/>
    <mergeCell ref="B24:C24"/>
    <mergeCell ref="B25:C25"/>
    <mergeCell ref="B26:C26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4401EE-6652-45B1-A1C7-4891BC64742B}">
          <x14:formula1>
            <xm:f>'BD Precios'!$A$2:$A$205</xm:f>
          </x14:formula1>
          <xm:sqref>N8:N16 K8:K16 G8:G29 D8:D29 N19:N24 K27:K29 N27:N29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2A244-7E19-48DC-8B58-D9AF6D42752A}">
  <sheetPr codeName="Hoja3"/>
  <dimension ref="A1:R44"/>
  <sheetViews>
    <sheetView tabSelected="1" zoomScaleNormal="100" workbookViewId="0">
      <selection activeCell="B8" sqref="B8:C8"/>
    </sheetView>
  </sheetViews>
  <sheetFormatPr baseColWidth="10" defaultColWidth="0" defaultRowHeight="15" customHeight="1" zeroHeight="1" x14ac:dyDescent="0.25"/>
  <cols>
    <col min="1" max="1" width="6" customWidth="1"/>
    <col min="2" max="3" width="11.42578125" customWidth="1"/>
    <col min="4" max="4" width="8.5703125" customWidth="1"/>
    <col min="5" max="6" width="11.42578125" customWidth="1"/>
    <col min="7" max="7" width="12.7109375" customWidth="1"/>
    <col min="8" max="8" width="14" bestFit="1" customWidth="1"/>
    <col min="9" max="9" width="6.42578125" customWidth="1"/>
    <col min="10" max="10" width="26.42578125" customWidth="1"/>
    <col min="11" max="11" width="8.28515625" customWidth="1"/>
    <col min="12" max="12" width="11.42578125" customWidth="1"/>
    <col min="13" max="13" width="15.140625" customWidth="1"/>
    <col min="14" max="14" width="12.5703125" customWidth="1"/>
    <col min="15" max="15" width="14" customWidth="1"/>
    <col min="16" max="16" width="4" customWidth="1"/>
    <col min="17" max="18" width="0" hidden="1" customWidth="1"/>
    <col min="19" max="16384" width="11.42578125" hidden="1"/>
  </cols>
  <sheetData>
    <row r="1" spans="2:15" ht="15.75" thickBot="1" x14ac:dyDescent="0.3"/>
    <row r="2" spans="2:15" ht="15" customHeight="1" x14ac:dyDescent="0.25">
      <c r="B2" s="77"/>
      <c r="C2" s="77"/>
      <c r="D2" s="77"/>
      <c r="E2" s="77"/>
      <c r="G2" s="103" t="s">
        <v>56</v>
      </c>
      <c r="H2" s="104"/>
      <c r="I2" s="104"/>
      <c r="J2" s="104"/>
      <c r="K2" s="104"/>
      <c r="L2" s="105"/>
      <c r="M2" s="68" t="s">
        <v>55</v>
      </c>
      <c r="N2" s="69"/>
      <c r="O2" s="70"/>
    </row>
    <row r="3" spans="2:15" ht="15" customHeight="1" x14ac:dyDescent="0.25">
      <c r="B3" s="77"/>
      <c r="C3" s="77"/>
      <c r="D3" s="77"/>
      <c r="E3" s="77"/>
      <c r="F3" s="28"/>
      <c r="G3" s="106"/>
      <c r="H3" s="107"/>
      <c r="I3" s="107"/>
      <c r="J3" s="107"/>
      <c r="K3" s="107"/>
      <c r="L3" s="108"/>
      <c r="M3" s="71"/>
      <c r="N3" s="72"/>
      <c r="O3" s="73"/>
    </row>
    <row r="4" spans="2:15" ht="15" customHeight="1" x14ac:dyDescent="0.25">
      <c r="B4" s="77"/>
      <c r="C4" s="77"/>
      <c r="D4" s="77"/>
      <c r="E4" s="77"/>
      <c r="F4" s="28"/>
      <c r="G4" s="106"/>
      <c r="H4" s="107"/>
      <c r="I4" s="107"/>
      <c r="J4" s="107"/>
      <c r="K4" s="107"/>
      <c r="L4" s="108"/>
      <c r="M4" s="71"/>
      <c r="N4" s="72"/>
      <c r="O4" s="73"/>
    </row>
    <row r="5" spans="2:15" ht="15" customHeight="1" thickBot="1" x14ac:dyDescent="0.3">
      <c r="B5" s="77"/>
      <c r="C5" s="77"/>
      <c r="D5" s="77"/>
      <c r="E5" s="77"/>
      <c r="F5" s="28"/>
      <c r="G5" s="109"/>
      <c r="H5" s="110"/>
      <c r="I5" s="110"/>
      <c r="J5" s="110"/>
      <c r="K5" s="110"/>
      <c r="L5" s="111"/>
      <c r="M5" s="74"/>
      <c r="N5" s="75"/>
      <c r="O5" s="76"/>
    </row>
    <row r="6" spans="2:15" ht="10.5" customHeight="1" thickBot="1" x14ac:dyDescent="0.3"/>
    <row r="7" spans="2:15" ht="30" customHeight="1" thickBot="1" x14ac:dyDescent="0.3">
      <c r="B7" s="78" t="s">
        <v>3</v>
      </c>
      <c r="C7" s="79"/>
      <c r="D7" s="24" t="s">
        <v>12</v>
      </c>
      <c r="E7" s="24" t="s">
        <v>25</v>
      </c>
      <c r="F7" s="24" t="s">
        <v>26</v>
      </c>
      <c r="G7" s="25" t="s">
        <v>27</v>
      </c>
      <c r="H7" s="26" t="s">
        <v>28</v>
      </c>
      <c r="J7" s="29" t="s">
        <v>32</v>
      </c>
      <c r="K7" s="24" t="s">
        <v>12</v>
      </c>
      <c r="L7" s="24" t="s">
        <v>25</v>
      </c>
      <c r="M7" s="24" t="s">
        <v>26</v>
      </c>
      <c r="N7" s="25" t="s">
        <v>27</v>
      </c>
      <c r="O7" s="26" t="s">
        <v>28</v>
      </c>
    </row>
    <row r="8" spans="2:15" ht="15" customHeight="1" x14ac:dyDescent="0.25">
      <c r="B8" s="80" t="s">
        <v>58</v>
      </c>
      <c r="C8" s="81"/>
      <c r="D8" s="39">
        <v>0</v>
      </c>
      <c r="E8" s="19">
        <f>VLOOKUP(B8,'BD Precios'!$B$3:$C$400,2,FALSE)</f>
        <v>13</v>
      </c>
      <c r="F8" s="19">
        <f>E8*D8</f>
        <v>0</v>
      </c>
      <c r="G8" s="39">
        <v>6</v>
      </c>
      <c r="H8" s="23">
        <f>F8/G8</f>
        <v>0</v>
      </c>
      <c r="J8" s="18" t="s">
        <v>33</v>
      </c>
      <c r="K8" s="39">
        <v>0</v>
      </c>
      <c r="L8" s="19">
        <f>VLOOKUP(J8,'BD Precios'!L3:O400,2,FALSE)</f>
        <v>1</v>
      </c>
      <c r="M8" s="19">
        <f>K8*L8</f>
        <v>0</v>
      </c>
      <c r="N8" s="39">
        <v>18</v>
      </c>
      <c r="O8" s="23">
        <f>M8/N8</f>
        <v>0</v>
      </c>
    </row>
    <row r="9" spans="2:15" ht="15" customHeight="1" x14ac:dyDescent="0.25">
      <c r="B9" s="57"/>
      <c r="C9" s="58"/>
      <c r="D9" s="40">
        <v>0</v>
      </c>
      <c r="E9" s="19" t="e">
        <f>VLOOKUP(B9,'BD Precios'!$B$3:$C$400,2,FALSE)</f>
        <v>#N/A</v>
      </c>
      <c r="F9" s="5" t="e">
        <f t="shared" ref="F9:F29" si="0">E9*D9</f>
        <v>#N/A</v>
      </c>
      <c r="G9" s="40">
        <v>6</v>
      </c>
      <c r="H9" s="20" t="e">
        <f t="shared" ref="H9:H29" si="1">F9/G9</f>
        <v>#N/A</v>
      </c>
      <c r="J9" s="9" t="s">
        <v>34</v>
      </c>
      <c r="K9" s="39">
        <v>0</v>
      </c>
      <c r="L9" s="5">
        <f>VLOOKUP(J9,'BD Precios'!L4:O401,2,FALSE)</f>
        <v>2</v>
      </c>
      <c r="M9" s="5">
        <f t="shared" ref="M9:M11" si="2">K9*L9</f>
        <v>0</v>
      </c>
      <c r="N9" s="40">
        <v>18</v>
      </c>
      <c r="O9" s="20">
        <f t="shared" ref="O9:O11" si="3">M9/N9</f>
        <v>0</v>
      </c>
    </row>
    <row r="10" spans="2:15" ht="15" customHeight="1" x14ac:dyDescent="0.25">
      <c r="B10" s="57"/>
      <c r="C10" s="58"/>
      <c r="D10" s="40">
        <v>0</v>
      </c>
      <c r="E10" s="19" t="e">
        <f>VLOOKUP(B10,'BD Precios'!$B$3:$C$400,2,FALSE)</f>
        <v>#N/A</v>
      </c>
      <c r="F10" s="5" t="e">
        <f t="shared" si="0"/>
        <v>#N/A</v>
      </c>
      <c r="G10" s="40">
        <v>6</v>
      </c>
      <c r="H10" s="20" t="e">
        <f t="shared" si="1"/>
        <v>#N/A</v>
      </c>
      <c r="J10" s="9" t="s">
        <v>39</v>
      </c>
      <c r="K10" s="39">
        <v>0</v>
      </c>
      <c r="L10" s="5">
        <f>VLOOKUP(J10,'BD Precios'!L5:O402,2,FALSE)</f>
        <v>3</v>
      </c>
      <c r="M10" s="5">
        <f t="shared" si="2"/>
        <v>0</v>
      </c>
      <c r="N10" s="40">
        <v>18</v>
      </c>
      <c r="O10" s="20">
        <f t="shared" si="3"/>
        <v>0</v>
      </c>
    </row>
    <row r="11" spans="2:15" ht="15" customHeight="1" x14ac:dyDescent="0.25">
      <c r="B11" s="57"/>
      <c r="C11" s="58"/>
      <c r="D11" s="40">
        <v>0</v>
      </c>
      <c r="E11" s="19" t="e">
        <f>VLOOKUP(B11,'BD Precios'!$B$3:$C$400,2,FALSE)</f>
        <v>#N/A</v>
      </c>
      <c r="F11" s="5" t="e">
        <f t="shared" si="0"/>
        <v>#N/A</v>
      </c>
      <c r="G11" s="40">
        <v>6</v>
      </c>
      <c r="H11" s="20" t="e">
        <f t="shared" si="1"/>
        <v>#N/A</v>
      </c>
      <c r="J11" s="9" t="s">
        <v>35</v>
      </c>
      <c r="K11" s="39">
        <v>0</v>
      </c>
      <c r="L11" s="5">
        <f>VLOOKUP(J11,'BD Precios'!L6:O403,2,FALSE)</f>
        <v>4</v>
      </c>
      <c r="M11" s="5">
        <f t="shared" si="2"/>
        <v>0</v>
      </c>
      <c r="N11" s="40">
        <v>18</v>
      </c>
      <c r="O11" s="20">
        <f t="shared" si="3"/>
        <v>0</v>
      </c>
    </row>
    <row r="12" spans="2:15" ht="15" customHeight="1" x14ac:dyDescent="0.25">
      <c r="B12" s="57"/>
      <c r="C12" s="58"/>
      <c r="D12" s="40">
        <v>0</v>
      </c>
      <c r="E12" s="19" t="e">
        <f>VLOOKUP(B12,'BD Precios'!$B$3:$C$400,2,FALSE)</f>
        <v>#N/A</v>
      </c>
      <c r="F12" s="5" t="e">
        <f t="shared" si="0"/>
        <v>#N/A</v>
      </c>
      <c r="G12" s="40">
        <v>6</v>
      </c>
      <c r="H12" s="20" t="e">
        <f t="shared" si="1"/>
        <v>#N/A</v>
      </c>
      <c r="J12" s="30" t="s">
        <v>46</v>
      </c>
      <c r="K12" s="39">
        <v>0</v>
      </c>
      <c r="L12" s="5">
        <f>VLOOKUP(J12,'BD Precios'!L9:O406,2,FALSE)</f>
        <v>7</v>
      </c>
      <c r="M12" s="5">
        <f>K12*L12</f>
        <v>0</v>
      </c>
      <c r="N12" s="40">
        <v>24</v>
      </c>
      <c r="O12" s="20">
        <f>M12/N12</f>
        <v>0</v>
      </c>
    </row>
    <row r="13" spans="2:15" ht="15" customHeight="1" x14ac:dyDescent="0.25">
      <c r="B13" s="57"/>
      <c r="C13" s="58"/>
      <c r="D13" s="40">
        <v>0</v>
      </c>
      <c r="E13" s="19" t="e">
        <f>VLOOKUP(B13,'BD Precios'!$B$3:$C$400,2,FALSE)</f>
        <v>#N/A</v>
      </c>
      <c r="F13" s="5" t="e">
        <f t="shared" si="0"/>
        <v>#N/A</v>
      </c>
      <c r="G13" s="40">
        <v>6</v>
      </c>
      <c r="H13" s="20" t="e">
        <f t="shared" si="1"/>
        <v>#N/A</v>
      </c>
      <c r="J13" s="30" t="s">
        <v>47</v>
      </c>
      <c r="K13" s="39">
        <v>0</v>
      </c>
      <c r="L13" s="5">
        <f>VLOOKUP(J13,'BD Precios'!L10:O407,2,FALSE)</f>
        <v>8</v>
      </c>
      <c r="M13" s="5">
        <f>K13*L13</f>
        <v>0</v>
      </c>
      <c r="N13" s="40">
        <v>36</v>
      </c>
      <c r="O13" s="20">
        <f>M13/N13</f>
        <v>0</v>
      </c>
    </row>
    <row r="14" spans="2:15" ht="15" customHeight="1" x14ac:dyDescent="0.25">
      <c r="B14" s="57"/>
      <c r="C14" s="58"/>
      <c r="D14" s="40">
        <v>0</v>
      </c>
      <c r="E14" s="19" t="e">
        <f>VLOOKUP(B14,'BD Precios'!$B$3:$C$400,2,FALSE)</f>
        <v>#N/A</v>
      </c>
      <c r="F14" s="5" t="e">
        <f t="shared" si="0"/>
        <v>#N/A</v>
      </c>
      <c r="G14" s="40">
        <v>6</v>
      </c>
      <c r="H14" s="20" t="e">
        <f t="shared" si="1"/>
        <v>#N/A</v>
      </c>
      <c r="J14" s="30" t="s">
        <v>45</v>
      </c>
      <c r="K14" s="39">
        <v>0</v>
      </c>
      <c r="L14" s="5">
        <f>VLOOKUP(J14,'BD Precios'!L11:O408,2,FALSE)</f>
        <v>9</v>
      </c>
      <c r="M14" s="5">
        <f>K14*L14</f>
        <v>0</v>
      </c>
      <c r="N14" s="40">
        <v>36</v>
      </c>
      <c r="O14" s="20">
        <f>M14/N14</f>
        <v>0</v>
      </c>
    </row>
    <row r="15" spans="2:15" ht="15" customHeight="1" thickBot="1" x14ac:dyDescent="0.3">
      <c r="B15" s="57"/>
      <c r="C15" s="58"/>
      <c r="D15" s="40">
        <v>0</v>
      </c>
      <c r="E15" s="19" t="e">
        <f>VLOOKUP(B15,'BD Precios'!$B$3:$C$400,2,FALSE)</f>
        <v>#N/A</v>
      </c>
      <c r="F15" s="5" t="e">
        <f t="shared" si="0"/>
        <v>#N/A</v>
      </c>
      <c r="G15" s="40">
        <v>6</v>
      </c>
      <c r="H15" s="20" t="e">
        <f t="shared" si="1"/>
        <v>#N/A</v>
      </c>
      <c r="J15" s="31" t="s">
        <v>48</v>
      </c>
      <c r="K15" s="42">
        <v>0</v>
      </c>
      <c r="L15" s="21">
        <f>VLOOKUP(J15,'BD Precios'!L12:O409,2,FALSE)</f>
        <v>10</v>
      </c>
      <c r="M15" s="21">
        <f>K15*L15</f>
        <v>0</v>
      </c>
      <c r="N15" s="41">
        <v>48</v>
      </c>
      <c r="O15" s="22">
        <f>M15/N15</f>
        <v>0</v>
      </c>
    </row>
    <row r="16" spans="2:15" ht="15" customHeight="1" thickBot="1" x14ac:dyDescent="0.3">
      <c r="B16" s="57"/>
      <c r="C16" s="58"/>
      <c r="D16" s="40">
        <v>0</v>
      </c>
      <c r="E16" s="19">
        <f>VLOOKUP(B8,'BD Precios'!$B$3:$C$400,2,FALSE)</f>
        <v>13</v>
      </c>
      <c r="F16" s="5">
        <f t="shared" si="0"/>
        <v>0</v>
      </c>
      <c r="G16" s="40">
        <v>12</v>
      </c>
      <c r="H16" s="20">
        <f t="shared" si="1"/>
        <v>0</v>
      </c>
    </row>
    <row r="17" spans="2:18" ht="15" customHeight="1" thickBot="1" x14ac:dyDescent="0.3">
      <c r="B17" s="57"/>
      <c r="C17" s="58"/>
      <c r="D17" s="40">
        <v>0</v>
      </c>
      <c r="E17" s="19" t="e">
        <f>VLOOKUP(B9,'BD Precios'!$B$3:$C$400,2,FALSE)</f>
        <v>#N/A</v>
      </c>
      <c r="F17" s="5" t="e">
        <f t="shared" si="0"/>
        <v>#N/A</v>
      </c>
      <c r="G17" s="40">
        <v>12</v>
      </c>
      <c r="H17" s="20" t="e">
        <f t="shared" si="1"/>
        <v>#N/A</v>
      </c>
      <c r="J17" s="29" t="s">
        <v>40</v>
      </c>
      <c r="K17" s="24" t="s">
        <v>12</v>
      </c>
      <c r="L17" s="24" t="s">
        <v>25</v>
      </c>
      <c r="M17" s="24" t="s">
        <v>26</v>
      </c>
      <c r="N17" s="25" t="s">
        <v>27</v>
      </c>
      <c r="O17" s="26" t="s">
        <v>28</v>
      </c>
    </row>
    <row r="18" spans="2:18" ht="15" customHeight="1" x14ac:dyDescent="0.25">
      <c r="B18" s="57"/>
      <c r="C18" s="58"/>
      <c r="D18" s="40">
        <v>0</v>
      </c>
      <c r="E18" s="19" t="e">
        <f>VLOOKUP(B10,'BD Precios'!$B$3:$C$400,2,FALSE)</f>
        <v>#N/A</v>
      </c>
      <c r="F18" s="5" t="e">
        <f t="shared" si="0"/>
        <v>#N/A</v>
      </c>
      <c r="G18" s="40">
        <v>12</v>
      </c>
      <c r="H18" s="20" t="e">
        <f t="shared" si="1"/>
        <v>#N/A</v>
      </c>
      <c r="J18" s="18" t="s">
        <v>30</v>
      </c>
      <c r="K18" s="14">
        <f>SUM(D8:D23)</f>
        <v>0</v>
      </c>
      <c r="L18" s="19">
        <f>VLOOKUP(J18,'BD Precios'!$G$2:$J$205,2,FALSE)</f>
        <v>300000</v>
      </c>
      <c r="M18" s="19">
        <f>K18*L18</f>
        <v>0</v>
      </c>
      <c r="N18" s="39">
        <v>22</v>
      </c>
      <c r="O18" s="23">
        <f>M18/N18</f>
        <v>0</v>
      </c>
    </row>
    <row r="19" spans="2:18" ht="15" customHeight="1" x14ac:dyDescent="0.25">
      <c r="B19" s="57"/>
      <c r="C19" s="58"/>
      <c r="D19" s="40">
        <v>0</v>
      </c>
      <c r="E19" s="19" t="e">
        <f>VLOOKUP(B11,'BD Precios'!$B$3:$C$400,2,FALSE)</f>
        <v>#N/A</v>
      </c>
      <c r="F19" s="5" t="e">
        <f t="shared" si="0"/>
        <v>#N/A</v>
      </c>
      <c r="G19" s="40">
        <v>12</v>
      </c>
      <c r="H19" s="20" t="e">
        <f t="shared" si="1"/>
        <v>#N/A</v>
      </c>
      <c r="J19" s="9" t="s">
        <v>41</v>
      </c>
      <c r="K19" s="4">
        <f>SUM(D24:D25)</f>
        <v>0</v>
      </c>
      <c r="L19" s="5">
        <f>VLOOKUP(J19,'BD Precios'!$G$2:$J$205,2,FALSE)</f>
        <v>250000</v>
      </c>
      <c r="M19" s="5">
        <f t="shared" ref="M19:M23" si="4">K19*L19</f>
        <v>0</v>
      </c>
      <c r="N19" s="40">
        <v>36</v>
      </c>
      <c r="O19" s="20">
        <f t="shared" ref="O19:O23" si="5">M19/N19</f>
        <v>0</v>
      </c>
    </row>
    <row r="20" spans="2:18" ht="15" customHeight="1" x14ac:dyDescent="0.25">
      <c r="B20" s="57"/>
      <c r="C20" s="58"/>
      <c r="D20" s="40">
        <v>0</v>
      </c>
      <c r="E20" s="19" t="e">
        <f>VLOOKUP(B12,'BD Precios'!$B$3:$C$400,2,FALSE)</f>
        <v>#N/A</v>
      </c>
      <c r="F20" s="5" t="e">
        <f t="shared" si="0"/>
        <v>#N/A</v>
      </c>
      <c r="G20" s="40">
        <v>12</v>
      </c>
      <c r="H20" s="20" t="e">
        <f t="shared" si="1"/>
        <v>#N/A</v>
      </c>
      <c r="J20" s="9" t="s">
        <v>42</v>
      </c>
      <c r="K20" s="4">
        <f>SUM(D26)</f>
        <v>0</v>
      </c>
      <c r="L20" s="5">
        <f>VLOOKUP(J20,'BD Precios'!$G$2:$J$205,2,FALSE)</f>
        <v>1</v>
      </c>
      <c r="M20" s="5">
        <f t="shared" si="4"/>
        <v>0</v>
      </c>
      <c r="N20" s="40">
        <v>36</v>
      </c>
      <c r="O20" s="20">
        <f t="shared" si="5"/>
        <v>0</v>
      </c>
    </row>
    <row r="21" spans="2:18" ht="15" customHeight="1" x14ac:dyDescent="0.25">
      <c r="B21" s="57"/>
      <c r="C21" s="58"/>
      <c r="D21" s="40">
        <v>0</v>
      </c>
      <c r="E21" s="19" t="e">
        <f>VLOOKUP(B13,'BD Precios'!$B$3:$C$400,2,FALSE)</f>
        <v>#N/A</v>
      </c>
      <c r="F21" s="5" t="e">
        <f t="shared" si="0"/>
        <v>#N/A</v>
      </c>
      <c r="G21" s="40">
        <v>12</v>
      </c>
      <c r="H21" s="20" t="e">
        <f t="shared" si="1"/>
        <v>#N/A</v>
      </c>
      <c r="J21" s="9" t="s">
        <v>2</v>
      </c>
      <c r="K21" s="4">
        <f>D27</f>
        <v>0</v>
      </c>
      <c r="L21" s="5">
        <f>VLOOKUP(J21,'BD Precios'!$G$2:$J$205,2,FALSE)</f>
        <v>2</v>
      </c>
      <c r="M21" s="5">
        <f t="shared" si="4"/>
        <v>0</v>
      </c>
      <c r="N21" s="40">
        <v>36</v>
      </c>
      <c r="O21" s="20">
        <f t="shared" si="5"/>
        <v>0</v>
      </c>
      <c r="P21" s="2"/>
      <c r="Q21" s="1"/>
      <c r="R21" s="1"/>
    </row>
    <row r="22" spans="2:18" ht="15" customHeight="1" x14ac:dyDescent="0.25">
      <c r="B22" s="57"/>
      <c r="C22" s="58"/>
      <c r="D22" s="40">
        <v>0</v>
      </c>
      <c r="E22" s="19" t="e">
        <f>VLOOKUP(B14,'BD Precios'!$B$3:$C$400,2,FALSE)</f>
        <v>#N/A</v>
      </c>
      <c r="F22" s="5" t="e">
        <f t="shared" si="0"/>
        <v>#N/A</v>
      </c>
      <c r="G22" s="40">
        <v>12</v>
      </c>
      <c r="H22" s="20" t="e">
        <f t="shared" si="1"/>
        <v>#N/A</v>
      </c>
      <c r="J22" s="44" t="s">
        <v>53</v>
      </c>
      <c r="K22" s="45">
        <f>D28</f>
        <v>0</v>
      </c>
      <c r="L22" s="43">
        <f>VLOOKUP(J22,'BD Precios'!$G$2:$J$205,2,FALSE)</f>
        <v>4</v>
      </c>
      <c r="M22" s="5">
        <f t="shared" si="4"/>
        <v>0</v>
      </c>
      <c r="N22" s="40">
        <v>36</v>
      </c>
      <c r="O22" s="20">
        <f t="shared" si="5"/>
        <v>0</v>
      </c>
    </row>
    <row r="23" spans="2:18" ht="15" customHeight="1" thickBot="1" x14ac:dyDescent="0.3">
      <c r="B23" s="57"/>
      <c r="C23" s="58"/>
      <c r="D23" s="40">
        <v>0</v>
      </c>
      <c r="E23" s="19" t="e">
        <f>VLOOKUP(B15,'BD Precios'!$B$3:$C$400,2,FALSE)</f>
        <v>#N/A</v>
      </c>
      <c r="F23" s="5" t="e">
        <f t="shared" si="0"/>
        <v>#N/A</v>
      </c>
      <c r="G23" s="40">
        <v>12</v>
      </c>
      <c r="H23" s="20" t="e">
        <f t="shared" si="1"/>
        <v>#N/A</v>
      </c>
      <c r="J23" s="10" t="s">
        <v>38</v>
      </c>
      <c r="K23" s="11">
        <f>D29</f>
        <v>0</v>
      </c>
      <c r="L23" s="21">
        <f>VLOOKUP(J23,'BD Precios'!$G$2:$J$205,2,FALSE)</f>
        <v>3</v>
      </c>
      <c r="M23" s="21">
        <f t="shared" si="4"/>
        <v>0</v>
      </c>
      <c r="N23" s="41">
        <v>36</v>
      </c>
      <c r="O23" s="22">
        <f t="shared" si="5"/>
        <v>0</v>
      </c>
    </row>
    <row r="24" spans="2:18" ht="15" customHeight="1" thickBot="1" x14ac:dyDescent="0.3">
      <c r="B24" s="57"/>
      <c r="C24" s="58"/>
      <c r="D24" s="40">
        <v>0</v>
      </c>
      <c r="E24" s="5" t="e">
        <f>VLOOKUP(B24,'BD Precios'!$B$3:$C$400,2,FALSE)</f>
        <v>#N/A</v>
      </c>
      <c r="F24" s="5" t="e">
        <f t="shared" si="0"/>
        <v>#N/A</v>
      </c>
      <c r="G24" s="40">
        <v>4</v>
      </c>
      <c r="H24" s="20" t="e">
        <f t="shared" si="1"/>
        <v>#N/A</v>
      </c>
    </row>
    <row r="25" spans="2:18" ht="15" customHeight="1" thickBot="1" x14ac:dyDescent="0.3">
      <c r="B25" s="57"/>
      <c r="C25" s="58"/>
      <c r="D25" s="40">
        <v>0</v>
      </c>
      <c r="E25" s="5" t="e">
        <f>VLOOKUP(B24,'BD Precios'!$B$3:$C$400,2,FALSE)</f>
        <v>#N/A</v>
      </c>
      <c r="F25" s="5" t="e">
        <f t="shared" si="0"/>
        <v>#N/A</v>
      </c>
      <c r="G25" s="40">
        <v>4</v>
      </c>
      <c r="H25" s="20" t="e">
        <f t="shared" si="1"/>
        <v>#N/A</v>
      </c>
      <c r="J25" s="46" t="s">
        <v>43</v>
      </c>
      <c r="K25" s="47" t="s">
        <v>12</v>
      </c>
      <c r="L25" s="47" t="s">
        <v>25</v>
      </c>
      <c r="M25" s="47" t="s">
        <v>26</v>
      </c>
      <c r="N25" s="48" t="s">
        <v>27</v>
      </c>
      <c r="O25" s="49" t="s">
        <v>28</v>
      </c>
    </row>
    <row r="26" spans="2:18" ht="15" customHeight="1" x14ac:dyDescent="0.25">
      <c r="B26" s="57"/>
      <c r="C26" s="58"/>
      <c r="D26" s="40">
        <v>0</v>
      </c>
      <c r="E26" s="5" t="e">
        <f>VLOOKUP(B26,'BD Precios'!$B$3:$C$400,2,FALSE)</f>
        <v>#N/A</v>
      </c>
      <c r="F26" s="5" t="e">
        <f t="shared" si="0"/>
        <v>#N/A</v>
      </c>
      <c r="G26" s="40">
        <v>4</v>
      </c>
      <c r="H26" s="20" t="e">
        <f t="shared" si="1"/>
        <v>#N/A</v>
      </c>
      <c r="J26" s="50" t="s">
        <v>44</v>
      </c>
      <c r="K26" s="51">
        <v>0</v>
      </c>
      <c r="L26" s="52">
        <f>VLOOKUP(J26,'BD Precios'!Q3:T400,2,FALSE)</f>
        <v>2</v>
      </c>
      <c r="M26" s="52">
        <f>K26*L26</f>
        <v>0</v>
      </c>
      <c r="N26" s="51">
        <v>24</v>
      </c>
      <c r="O26" s="53">
        <f>M26/N26</f>
        <v>0</v>
      </c>
    </row>
    <row r="27" spans="2:18" ht="15" customHeight="1" x14ac:dyDescent="0.25">
      <c r="B27" s="57"/>
      <c r="C27" s="58"/>
      <c r="D27" s="40">
        <v>0</v>
      </c>
      <c r="E27" s="5" t="e">
        <f>VLOOKUP(B27,'BD Precios'!$B$3:$C$400,2,FALSE)</f>
        <v>#N/A</v>
      </c>
      <c r="F27" s="5" t="e">
        <f t="shared" si="0"/>
        <v>#N/A</v>
      </c>
      <c r="G27" s="40">
        <v>4</v>
      </c>
      <c r="H27" s="20" t="e">
        <f t="shared" si="1"/>
        <v>#N/A</v>
      </c>
      <c r="J27" s="9" t="s">
        <v>49</v>
      </c>
      <c r="K27" s="40">
        <v>0</v>
      </c>
      <c r="L27" s="5">
        <f>VLOOKUP(J27,'BD Precios'!Q3:T401,2,FALSE)</f>
        <v>1</v>
      </c>
      <c r="M27" s="5">
        <f>K27*L27</f>
        <v>0</v>
      </c>
      <c r="N27" s="40">
        <v>24</v>
      </c>
      <c r="O27" s="20">
        <f>M27/N27</f>
        <v>0</v>
      </c>
    </row>
    <row r="28" spans="2:18" ht="15" customHeight="1" thickBot="1" x14ac:dyDescent="0.3">
      <c r="B28" s="55" t="s">
        <v>53</v>
      </c>
      <c r="C28" s="56"/>
      <c r="D28" s="40">
        <v>0</v>
      </c>
      <c r="E28" s="43">
        <f>VLOOKUP(B28,'BD Precios'!$B$3:$C$400,2,FALSE)</f>
        <v>12</v>
      </c>
      <c r="F28" s="5">
        <f t="shared" si="0"/>
        <v>0</v>
      </c>
      <c r="G28" s="40">
        <v>4</v>
      </c>
      <c r="H28" s="20">
        <f t="shared" si="1"/>
        <v>0</v>
      </c>
      <c r="J28" s="10" t="s">
        <v>57</v>
      </c>
      <c r="K28" s="41">
        <v>0</v>
      </c>
      <c r="L28" s="21">
        <f>VLOOKUP(J28,'BD Precios'!Q4:T402,2,FALSE)</f>
        <v>1</v>
      </c>
      <c r="M28" s="21">
        <f>K28*L28</f>
        <v>0</v>
      </c>
      <c r="N28" s="41">
        <v>24</v>
      </c>
      <c r="O28" s="22">
        <f>M28/N28</f>
        <v>0</v>
      </c>
    </row>
    <row r="29" spans="2:18" ht="15" customHeight="1" thickBot="1" x14ac:dyDescent="0.3">
      <c r="B29" s="101" t="s">
        <v>38</v>
      </c>
      <c r="C29" s="102"/>
      <c r="D29" s="41">
        <v>0</v>
      </c>
      <c r="E29" s="21">
        <f>VLOOKUP(B29,'BD Precios'!$B$3:$C$400,2,FALSE)</f>
        <v>11</v>
      </c>
      <c r="F29" s="21">
        <f t="shared" si="0"/>
        <v>0</v>
      </c>
      <c r="G29" s="41">
        <v>4</v>
      </c>
      <c r="H29" s="22">
        <f t="shared" si="1"/>
        <v>0</v>
      </c>
    </row>
    <row r="30" spans="2:18" ht="15" customHeight="1" thickBot="1" x14ac:dyDescent="0.3">
      <c r="B30" s="3"/>
      <c r="C30" s="3"/>
      <c r="D30" s="3"/>
      <c r="E30" s="3"/>
      <c r="F30" s="3"/>
      <c r="G30" s="3"/>
      <c r="H30" s="3"/>
      <c r="I30" s="33"/>
      <c r="J30" s="27"/>
      <c r="K30" s="27"/>
      <c r="L30" s="27"/>
      <c r="M30" s="27"/>
      <c r="N30" s="27"/>
      <c r="O30" s="27"/>
    </row>
    <row r="31" spans="2:18" ht="15" customHeight="1" x14ac:dyDescent="0.25">
      <c r="B31" s="82" t="s">
        <v>0</v>
      </c>
      <c r="C31" s="83"/>
      <c r="D31" s="84"/>
      <c r="E31" s="97" t="e">
        <f>SUM(F8:F29)+SUM(M8:M15)+SUM(M18:M23)+SUM(M26:M27)</f>
        <v>#N/A</v>
      </c>
      <c r="F31" s="97"/>
      <c r="G31" s="97"/>
      <c r="H31" s="98"/>
      <c r="I31" s="33"/>
      <c r="J31" s="82" t="s">
        <v>51</v>
      </c>
      <c r="K31" s="84"/>
      <c r="L31" s="97" t="e">
        <f>SUM(H8:H29)+SUM(O8:O15)+SUM(O18:O23)+SUM(O26:O27)</f>
        <v>#N/A</v>
      </c>
      <c r="M31" s="97"/>
      <c r="N31" s="97"/>
      <c r="O31" s="98"/>
    </row>
    <row r="32" spans="2:18" ht="15" customHeight="1" thickBot="1" x14ac:dyDescent="0.3">
      <c r="B32" s="94"/>
      <c r="C32" s="95"/>
      <c r="D32" s="96"/>
      <c r="E32" s="99"/>
      <c r="F32" s="99"/>
      <c r="G32" s="99"/>
      <c r="H32" s="100"/>
      <c r="J32" s="94"/>
      <c r="K32" s="96"/>
      <c r="L32" s="99"/>
      <c r="M32" s="99"/>
      <c r="N32" s="99"/>
      <c r="O32" s="100"/>
    </row>
    <row r="33" spans="2:15" ht="15.75" customHeight="1" thickBot="1" x14ac:dyDescent="0.3">
      <c r="K33" s="3"/>
      <c r="L33" s="3"/>
    </row>
    <row r="34" spans="2:15" ht="21.75" thickBot="1" x14ac:dyDescent="0.3">
      <c r="B34" s="82" t="s">
        <v>54</v>
      </c>
      <c r="C34" s="83"/>
      <c r="D34" s="84"/>
      <c r="K34" s="3"/>
      <c r="L34" s="3"/>
    </row>
    <row r="35" spans="2:15" ht="22.5" customHeight="1" x14ac:dyDescent="0.25">
      <c r="B35" s="85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7"/>
    </row>
    <row r="36" spans="2:15" ht="18.75" customHeight="1" x14ac:dyDescent="0.25">
      <c r="B36" s="88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90"/>
    </row>
    <row r="37" spans="2:15" ht="19.5" customHeight="1" x14ac:dyDescent="0.25">
      <c r="B37" s="88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90"/>
    </row>
    <row r="38" spans="2:15" ht="26.25" customHeight="1" thickBot="1" x14ac:dyDescent="0.3">
      <c r="B38" s="91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3"/>
    </row>
    <row r="39" spans="2:15" x14ac:dyDescent="0.25">
      <c r="K39" s="3"/>
      <c r="L39" s="3"/>
    </row>
    <row r="40" spans="2:15" ht="4.5" customHeight="1" x14ac:dyDescent="0.25">
      <c r="K40" s="3"/>
      <c r="L40" s="3"/>
    </row>
    <row r="41" spans="2:15" hidden="1" x14ac:dyDescent="0.25">
      <c r="K41" s="3"/>
      <c r="L41" s="3"/>
    </row>
    <row r="42" spans="2:15" hidden="1" x14ac:dyDescent="0.25">
      <c r="K42" s="3"/>
      <c r="L42" s="3"/>
    </row>
    <row r="43" spans="2:15" hidden="1" x14ac:dyDescent="0.25">
      <c r="K43" s="3"/>
      <c r="L43" s="3"/>
    </row>
    <row r="44" spans="2:15" hidden="1" x14ac:dyDescent="0.25">
      <c r="K44" s="3"/>
      <c r="L44" s="3"/>
    </row>
  </sheetData>
  <sheetProtection formatCells="0" formatColumns="0" formatRows="0" insertColumns="0" insertRows="0" insertHyperlinks="0" deleteColumns="0" deleteRows="0" sort="0" autoFilter="0" pivotTables="0"/>
  <mergeCells count="32">
    <mergeCell ref="B34:D34"/>
    <mergeCell ref="B35:O38"/>
    <mergeCell ref="B28:C28"/>
    <mergeCell ref="B29:C29"/>
    <mergeCell ref="B31:D32"/>
    <mergeCell ref="E31:H32"/>
    <mergeCell ref="J31:K32"/>
    <mergeCell ref="L31:O32"/>
    <mergeCell ref="B27:C27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15:C15"/>
    <mergeCell ref="B2:E5"/>
    <mergeCell ref="G2:L5"/>
    <mergeCell ref="M2:O5"/>
    <mergeCell ref="B7:C7"/>
    <mergeCell ref="B8:C8"/>
    <mergeCell ref="B9:C9"/>
    <mergeCell ref="B10:C10"/>
    <mergeCell ref="B11:C11"/>
    <mergeCell ref="B12:C12"/>
    <mergeCell ref="B13:C13"/>
    <mergeCell ref="B14:C1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9CF93-5AB7-4ACE-B551-3EDB9F55D309}">
          <x14:formula1>
            <xm:f>'BD Precios'!$A$2:$A$205</xm:f>
          </x14:formula1>
          <xm:sqref>K26:K28 N26:N28 G8:G29 D8:D29 N18:N23 N8:N15 K8:K15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9610E-3C10-4BDB-A391-28D964708EB4}">
  <sheetPr codeName="Hoja2"/>
  <dimension ref="A1:T206"/>
  <sheetViews>
    <sheetView workbookViewId="0">
      <selection activeCell="E5" sqref="E5"/>
    </sheetView>
  </sheetViews>
  <sheetFormatPr baseColWidth="10" defaultRowHeight="15" x14ac:dyDescent="0.25"/>
  <cols>
    <col min="1" max="1" width="4.28515625" customWidth="1"/>
    <col min="2" max="2" width="16.85546875" customWidth="1"/>
    <col min="3" max="3" width="13" bestFit="1" customWidth="1"/>
    <col min="4" max="4" width="13.140625" customWidth="1"/>
    <col min="5" max="5" width="11.85546875" customWidth="1"/>
    <col min="6" max="6" width="6" customWidth="1"/>
    <col min="7" max="7" width="22.7109375" bestFit="1" customWidth="1"/>
    <col min="9" max="9" width="12.85546875" customWidth="1"/>
    <col min="10" max="10" width="12.140625" customWidth="1"/>
    <col min="11" max="11" width="5.7109375" customWidth="1"/>
    <col min="12" max="12" width="26.140625" customWidth="1"/>
    <col min="15" max="15" width="12.7109375" customWidth="1"/>
    <col min="17" max="17" width="26.140625" customWidth="1"/>
    <col min="20" max="20" width="12.140625" customWidth="1"/>
  </cols>
  <sheetData>
    <row r="1" spans="1:20" ht="12" customHeight="1" thickBot="1" x14ac:dyDescent="0.3"/>
    <row r="2" spans="1:20" ht="34.5" customHeight="1" thickBot="1" x14ac:dyDescent="0.3">
      <c r="A2">
        <v>0</v>
      </c>
      <c r="B2" s="16" t="s">
        <v>3</v>
      </c>
      <c r="C2" s="17" t="s">
        <v>21</v>
      </c>
      <c r="D2" s="17" t="s">
        <v>22</v>
      </c>
      <c r="E2" s="32" t="s">
        <v>31</v>
      </c>
      <c r="G2" s="16" t="s">
        <v>29</v>
      </c>
      <c r="H2" s="17" t="s">
        <v>21</v>
      </c>
      <c r="I2" s="17" t="s">
        <v>22</v>
      </c>
      <c r="J2" s="32" t="s">
        <v>31</v>
      </c>
      <c r="L2" s="16" t="s">
        <v>32</v>
      </c>
      <c r="M2" s="17" t="s">
        <v>21</v>
      </c>
      <c r="N2" s="17" t="s">
        <v>22</v>
      </c>
      <c r="O2" s="32" t="s">
        <v>31</v>
      </c>
      <c r="Q2" s="16" t="s">
        <v>50</v>
      </c>
      <c r="R2" s="17" t="s">
        <v>21</v>
      </c>
      <c r="S2" s="17" t="s">
        <v>22</v>
      </c>
      <c r="T2" s="32" t="s">
        <v>31</v>
      </c>
    </row>
    <row r="3" spans="1:20" x14ac:dyDescent="0.25">
      <c r="A3">
        <v>1</v>
      </c>
      <c r="B3" s="13" t="s">
        <v>4</v>
      </c>
      <c r="C3" s="35">
        <v>250000</v>
      </c>
      <c r="D3" s="14"/>
      <c r="E3" s="15"/>
      <c r="G3" s="18" t="s">
        <v>30</v>
      </c>
      <c r="H3" s="38">
        <v>300000</v>
      </c>
      <c r="I3" s="14"/>
      <c r="J3" s="15"/>
      <c r="L3" s="18" t="s">
        <v>33</v>
      </c>
      <c r="M3" s="38">
        <v>1</v>
      </c>
      <c r="N3" s="14"/>
      <c r="O3" s="15"/>
      <c r="Q3" s="18" t="s">
        <v>49</v>
      </c>
      <c r="R3" s="38">
        <v>1</v>
      </c>
      <c r="S3" s="14"/>
      <c r="T3" s="15"/>
    </row>
    <row r="4" spans="1:20" x14ac:dyDescent="0.25">
      <c r="A4">
        <v>2</v>
      </c>
      <c r="B4" s="6" t="s">
        <v>5</v>
      </c>
      <c r="C4" s="36">
        <v>1</v>
      </c>
      <c r="D4" s="4"/>
      <c r="E4" s="7"/>
      <c r="G4" s="9" t="s">
        <v>41</v>
      </c>
      <c r="H4" s="34">
        <v>250000</v>
      </c>
      <c r="I4" s="4"/>
      <c r="J4" s="7"/>
      <c r="L4" s="9" t="s">
        <v>34</v>
      </c>
      <c r="M4" s="34">
        <v>2</v>
      </c>
      <c r="N4" s="4"/>
      <c r="O4" s="7"/>
      <c r="Q4" s="9" t="s">
        <v>44</v>
      </c>
      <c r="R4" s="34">
        <v>2</v>
      </c>
      <c r="S4" s="4"/>
      <c r="T4" s="7"/>
    </row>
    <row r="5" spans="1:20" x14ac:dyDescent="0.25">
      <c r="A5">
        <v>3</v>
      </c>
      <c r="B5" s="6" t="s">
        <v>6</v>
      </c>
      <c r="C5" s="36">
        <v>2</v>
      </c>
      <c r="D5" s="4"/>
      <c r="E5" s="7"/>
      <c r="G5" s="9" t="s">
        <v>42</v>
      </c>
      <c r="H5" s="34">
        <v>1</v>
      </c>
      <c r="I5" s="4"/>
      <c r="J5" s="7"/>
      <c r="L5" s="9" t="s">
        <v>39</v>
      </c>
      <c r="M5" s="34">
        <v>3</v>
      </c>
      <c r="N5" s="4"/>
      <c r="O5" s="7"/>
      <c r="Q5" s="9" t="s">
        <v>57</v>
      </c>
      <c r="R5" s="34">
        <v>1</v>
      </c>
      <c r="S5" s="4"/>
      <c r="T5" s="7"/>
    </row>
    <row r="6" spans="1:20" x14ac:dyDescent="0.25">
      <c r="A6">
        <v>4</v>
      </c>
      <c r="B6" s="6" t="s">
        <v>7</v>
      </c>
      <c r="C6" s="36">
        <v>3</v>
      </c>
      <c r="D6" s="4"/>
      <c r="E6" s="7"/>
      <c r="G6" s="9" t="s">
        <v>2</v>
      </c>
      <c r="H6" s="34">
        <v>2</v>
      </c>
      <c r="I6" s="4"/>
      <c r="J6" s="7"/>
      <c r="L6" s="9" t="s">
        <v>35</v>
      </c>
      <c r="M6" s="34">
        <v>4</v>
      </c>
      <c r="N6" s="4"/>
      <c r="O6" s="7"/>
      <c r="Q6" s="9"/>
      <c r="R6" s="34"/>
      <c r="S6" s="4"/>
      <c r="T6" s="7"/>
    </row>
    <row r="7" spans="1:20" x14ac:dyDescent="0.25">
      <c r="A7">
        <v>5</v>
      </c>
      <c r="B7" s="6" t="s">
        <v>8</v>
      </c>
      <c r="C7" s="36">
        <v>4</v>
      </c>
      <c r="D7" s="4"/>
      <c r="E7" s="7"/>
      <c r="G7" s="9" t="s">
        <v>38</v>
      </c>
      <c r="H7" s="34">
        <v>3</v>
      </c>
      <c r="I7" s="4"/>
      <c r="J7" s="7"/>
      <c r="L7" s="9" t="s">
        <v>36</v>
      </c>
      <c r="M7" s="34">
        <v>5</v>
      </c>
      <c r="N7" s="4"/>
      <c r="O7" s="7"/>
      <c r="Q7" s="9"/>
      <c r="R7" s="34"/>
      <c r="S7" s="4"/>
      <c r="T7" s="7"/>
    </row>
    <row r="8" spans="1:20" x14ac:dyDescent="0.25">
      <c r="A8">
        <v>6</v>
      </c>
      <c r="B8" s="6" t="s">
        <v>9</v>
      </c>
      <c r="C8" s="36">
        <v>5</v>
      </c>
      <c r="D8" s="4"/>
      <c r="E8" s="7"/>
      <c r="G8" s="9" t="s">
        <v>53</v>
      </c>
      <c r="H8" s="34">
        <v>4</v>
      </c>
      <c r="I8" s="4"/>
      <c r="J8" s="7"/>
      <c r="L8" s="9" t="s">
        <v>37</v>
      </c>
      <c r="M8" s="34">
        <v>6</v>
      </c>
      <c r="N8" s="4"/>
      <c r="O8" s="7"/>
      <c r="Q8" s="9"/>
      <c r="R8" s="34"/>
      <c r="S8" s="4"/>
      <c r="T8" s="7"/>
    </row>
    <row r="9" spans="1:20" x14ac:dyDescent="0.25">
      <c r="A9">
        <v>7</v>
      </c>
      <c r="B9" s="6" t="s">
        <v>10</v>
      </c>
      <c r="C9" s="36">
        <v>6</v>
      </c>
      <c r="D9" s="4"/>
      <c r="E9" s="7"/>
      <c r="G9" s="9"/>
      <c r="H9" s="34"/>
      <c r="I9" s="4"/>
      <c r="J9" s="7"/>
      <c r="L9" s="9" t="s">
        <v>46</v>
      </c>
      <c r="M9" s="34">
        <v>7</v>
      </c>
      <c r="N9" s="4"/>
      <c r="O9" s="7"/>
      <c r="Q9" s="9"/>
      <c r="R9" s="34"/>
      <c r="S9" s="4"/>
      <c r="T9" s="7"/>
    </row>
    <row r="10" spans="1:20" x14ac:dyDescent="0.25">
      <c r="A10">
        <v>8</v>
      </c>
      <c r="B10" s="6" t="s">
        <v>11</v>
      </c>
      <c r="C10" s="36">
        <v>7</v>
      </c>
      <c r="D10" s="4"/>
      <c r="E10" s="7"/>
      <c r="G10" s="9"/>
      <c r="H10" s="34"/>
      <c r="I10" s="4"/>
      <c r="J10" s="7"/>
      <c r="L10" s="9" t="s">
        <v>47</v>
      </c>
      <c r="M10" s="34">
        <v>8</v>
      </c>
      <c r="N10" s="4"/>
      <c r="O10" s="7"/>
      <c r="Q10" s="9"/>
      <c r="R10" s="34"/>
      <c r="S10" s="4"/>
      <c r="T10" s="7"/>
    </row>
    <row r="11" spans="1:20" x14ac:dyDescent="0.25">
      <c r="A11">
        <v>9</v>
      </c>
      <c r="B11" s="8" t="s">
        <v>1</v>
      </c>
      <c r="C11" s="34">
        <v>8</v>
      </c>
      <c r="D11" s="4"/>
      <c r="E11" s="7"/>
      <c r="G11" s="9"/>
      <c r="H11" s="34"/>
      <c r="I11" s="4"/>
      <c r="J11" s="7"/>
      <c r="L11" s="9" t="s">
        <v>45</v>
      </c>
      <c r="M11" s="34">
        <v>9</v>
      </c>
      <c r="N11" s="4"/>
      <c r="O11" s="7"/>
      <c r="Q11" s="9"/>
      <c r="R11" s="34"/>
      <c r="S11" s="4"/>
      <c r="T11" s="7"/>
    </row>
    <row r="12" spans="1:20" x14ac:dyDescent="0.25">
      <c r="A12">
        <v>10</v>
      </c>
      <c r="B12" s="8" t="s">
        <v>24</v>
      </c>
      <c r="C12" s="34">
        <v>9</v>
      </c>
      <c r="D12" s="4"/>
      <c r="E12" s="7"/>
      <c r="G12" s="9"/>
      <c r="H12" s="34"/>
      <c r="I12" s="4"/>
      <c r="J12" s="7"/>
      <c r="L12" s="9" t="s">
        <v>48</v>
      </c>
      <c r="M12" s="34">
        <v>10</v>
      </c>
      <c r="N12" s="4"/>
      <c r="O12" s="7"/>
      <c r="Q12" s="9"/>
      <c r="R12" s="34"/>
      <c r="S12" s="4"/>
      <c r="T12" s="7"/>
    </row>
    <row r="13" spans="1:20" x14ac:dyDescent="0.25">
      <c r="A13">
        <v>11</v>
      </c>
      <c r="B13" s="9" t="s">
        <v>2</v>
      </c>
      <c r="C13" s="34">
        <v>36000000</v>
      </c>
      <c r="D13" s="4"/>
      <c r="E13" s="7"/>
      <c r="G13" s="9"/>
      <c r="H13" s="34"/>
      <c r="I13" s="4"/>
      <c r="J13" s="7"/>
      <c r="L13" s="9" t="s">
        <v>59</v>
      </c>
      <c r="M13" s="34">
        <v>13</v>
      </c>
      <c r="N13" s="4"/>
      <c r="O13" s="7"/>
      <c r="Q13" s="9"/>
      <c r="R13" s="34"/>
      <c r="S13" s="4"/>
      <c r="T13" s="7"/>
    </row>
    <row r="14" spans="1:20" x14ac:dyDescent="0.25">
      <c r="A14">
        <v>12</v>
      </c>
      <c r="B14" s="9" t="s">
        <v>38</v>
      </c>
      <c r="C14" s="34">
        <v>11</v>
      </c>
      <c r="D14" s="4"/>
      <c r="E14" s="7"/>
      <c r="G14" s="9"/>
      <c r="H14" s="34"/>
      <c r="I14" s="4"/>
      <c r="J14" s="7"/>
      <c r="L14" s="9"/>
      <c r="M14" s="34"/>
      <c r="N14" s="4"/>
      <c r="O14" s="7"/>
      <c r="Q14" s="9"/>
      <c r="R14" s="34"/>
      <c r="S14" s="4"/>
      <c r="T14" s="7"/>
    </row>
    <row r="15" spans="1:20" x14ac:dyDescent="0.25">
      <c r="A15">
        <v>13</v>
      </c>
      <c r="B15" s="9" t="s">
        <v>53</v>
      </c>
      <c r="C15" s="34">
        <v>12</v>
      </c>
      <c r="D15" s="4"/>
      <c r="E15" s="7"/>
      <c r="G15" s="9"/>
      <c r="H15" s="34"/>
      <c r="I15" s="4"/>
      <c r="J15" s="7"/>
      <c r="L15" s="9"/>
      <c r="M15" s="34"/>
      <c r="N15" s="4"/>
      <c r="O15" s="7"/>
      <c r="Q15" s="9"/>
      <c r="R15" s="34"/>
      <c r="S15" s="4"/>
      <c r="T15" s="7"/>
    </row>
    <row r="16" spans="1:20" x14ac:dyDescent="0.25">
      <c r="A16">
        <v>14</v>
      </c>
      <c r="B16" s="9" t="s">
        <v>58</v>
      </c>
      <c r="C16" s="34">
        <v>13</v>
      </c>
      <c r="D16" s="4"/>
      <c r="E16" s="7"/>
      <c r="G16" s="9"/>
      <c r="H16" s="34"/>
      <c r="I16" s="4"/>
      <c r="J16" s="7"/>
      <c r="L16" s="9"/>
      <c r="M16" s="34"/>
      <c r="N16" s="4"/>
      <c r="O16" s="7"/>
      <c r="Q16" s="9"/>
      <c r="R16" s="34"/>
      <c r="S16" s="4"/>
      <c r="T16" s="7"/>
    </row>
    <row r="17" spans="1:20" x14ac:dyDescent="0.25">
      <c r="A17">
        <v>15</v>
      </c>
      <c r="B17" s="9"/>
      <c r="C17" s="34"/>
      <c r="D17" s="4"/>
      <c r="E17" s="7"/>
      <c r="G17" s="9"/>
      <c r="H17" s="34"/>
      <c r="I17" s="4"/>
      <c r="J17" s="7"/>
      <c r="L17" s="9"/>
      <c r="M17" s="34"/>
      <c r="N17" s="4"/>
      <c r="O17" s="7"/>
      <c r="Q17" s="9"/>
      <c r="R17" s="34"/>
      <c r="S17" s="4"/>
      <c r="T17" s="7"/>
    </row>
    <row r="18" spans="1:20" x14ac:dyDescent="0.25">
      <c r="A18">
        <v>16</v>
      </c>
      <c r="B18" s="9"/>
      <c r="C18" s="34"/>
      <c r="D18" s="4"/>
      <c r="E18" s="7"/>
      <c r="G18" s="9"/>
      <c r="H18" s="34"/>
      <c r="I18" s="4"/>
      <c r="J18" s="7"/>
      <c r="L18" s="9"/>
      <c r="M18" s="34"/>
      <c r="N18" s="4"/>
      <c r="O18" s="7"/>
      <c r="Q18" s="9"/>
      <c r="R18" s="34"/>
      <c r="S18" s="4"/>
      <c r="T18" s="7"/>
    </row>
    <row r="19" spans="1:20" x14ac:dyDescent="0.25">
      <c r="A19">
        <v>17</v>
      </c>
      <c r="B19" s="9"/>
      <c r="C19" s="34"/>
      <c r="D19" s="4"/>
      <c r="E19" s="7"/>
      <c r="G19" s="9"/>
      <c r="H19" s="34"/>
      <c r="I19" s="4"/>
      <c r="J19" s="7"/>
      <c r="L19" s="9"/>
      <c r="M19" s="34"/>
      <c r="N19" s="4"/>
      <c r="O19" s="7"/>
      <c r="Q19" s="9"/>
      <c r="R19" s="34"/>
      <c r="S19" s="4"/>
      <c r="T19" s="7"/>
    </row>
    <row r="20" spans="1:20" x14ac:dyDescent="0.25">
      <c r="A20">
        <v>18</v>
      </c>
      <c r="B20" s="9"/>
      <c r="C20" s="34"/>
      <c r="D20" s="4"/>
      <c r="E20" s="7"/>
      <c r="G20" s="9"/>
      <c r="H20" s="34"/>
      <c r="I20" s="4"/>
      <c r="J20" s="7"/>
      <c r="L20" s="9"/>
      <c r="M20" s="34"/>
      <c r="N20" s="4"/>
      <c r="O20" s="7"/>
      <c r="Q20" s="9"/>
      <c r="R20" s="34"/>
      <c r="S20" s="4"/>
      <c r="T20" s="7"/>
    </row>
    <row r="21" spans="1:20" x14ac:dyDescent="0.25">
      <c r="A21">
        <v>19</v>
      </c>
      <c r="B21" s="9"/>
      <c r="C21" s="34"/>
      <c r="D21" s="4"/>
      <c r="E21" s="7"/>
      <c r="G21" s="9"/>
      <c r="H21" s="34"/>
      <c r="I21" s="4"/>
      <c r="J21" s="7"/>
      <c r="L21" s="9"/>
      <c r="M21" s="34"/>
      <c r="N21" s="4"/>
      <c r="O21" s="7"/>
      <c r="Q21" s="9"/>
      <c r="R21" s="34"/>
      <c r="S21" s="4"/>
      <c r="T21" s="7"/>
    </row>
    <row r="22" spans="1:20" x14ac:dyDescent="0.25">
      <c r="A22">
        <v>20</v>
      </c>
      <c r="B22" s="9"/>
      <c r="C22" s="34"/>
      <c r="D22" s="4"/>
      <c r="E22" s="7"/>
      <c r="G22" s="9"/>
      <c r="H22" s="34"/>
      <c r="I22" s="4"/>
      <c r="J22" s="7"/>
      <c r="L22" s="9"/>
      <c r="M22" s="34"/>
      <c r="N22" s="4"/>
      <c r="O22" s="7"/>
      <c r="Q22" s="9"/>
      <c r="R22" s="34"/>
      <c r="S22" s="4"/>
      <c r="T22" s="7"/>
    </row>
    <row r="23" spans="1:20" x14ac:dyDescent="0.25">
      <c r="A23">
        <v>21</v>
      </c>
      <c r="B23" s="9"/>
      <c r="C23" s="34"/>
      <c r="D23" s="4"/>
      <c r="E23" s="7"/>
      <c r="G23" s="9"/>
      <c r="H23" s="34"/>
      <c r="I23" s="4"/>
      <c r="J23" s="7"/>
      <c r="L23" s="9"/>
      <c r="M23" s="34"/>
      <c r="N23" s="4"/>
      <c r="O23" s="7"/>
      <c r="Q23" s="9"/>
      <c r="R23" s="34"/>
      <c r="S23" s="4"/>
      <c r="T23" s="7"/>
    </row>
    <row r="24" spans="1:20" x14ac:dyDescent="0.25">
      <c r="A24">
        <v>22</v>
      </c>
      <c r="B24" s="9"/>
      <c r="C24" s="34"/>
      <c r="D24" s="4"/>
      <c r="E24" s="7"/>
      <c r="G24" s="9"/>
      <c r="H24" s="34"/>
      <c r="I24" s="4"/>
      <c r="J24" s="7"/>
      <c r="L24" s="9"/>
      <c r="M24" s="34"/>
      <c r="N24" s="4"/>
      <c r="O24" s="7"/>
      <c r="Q24" s="9"/>
      <c r="R24" s="34"/>
      <c r="S24" s="4"/>
      <c r="T24" s="7"/>
    </row>
    <row r="25" spans="1:20" x14ac:dyDescent="0.25">
      <c r="A25">
        <v>23</v>
      </c>
      <c r="B25" s="9"/>
      <c r="C25" s="34"/>
      <c r="D25" s="4"/>
      <c r="E25" s="7"/>
      <c r="G25" s="9"/>
      <c r="H25" s="34"/>
      <c r="I25" s="4"/>
      <c r="J25" s="7"/>
      <c r="L25" s="9"/>
      <c r="M25" s="34"/>
      <c r="N25" s="4"/>
      <c r="O25" s="7"/>
      <c r="Q25" s="9"/>
      <c r="R25" s="34"/>
      <c r="S25" s="4"/>
      <c r="T25" s="7"/>
    </row>
    <row r="26" spans="1:20" x14ac:dyDescent="0.25">
      <c r="A26">
        <v>24</v>
      </c>
      <c r="B26" s="9"/>
      <c r="C26" s="34"/>
      <c r="D26" s="4"/>
      <c r="E26" s="7"/>
      <c r="G26" s="9"/>
      <c r="H26" s="34"/>
      <c r="I26" s="4"/>
      <c r="J26" s="7"/>
      <c r="L26" s="9"/>
      <c r="M26" s="34"/>
      <c r="N26" s="4"/>
      <c r="O26" s="7"/>
      <c r="Q26" s="9"/>
      <c r="R26" s="34"/>
      <c r="S26" s="4"/>
      <c r="T26" s="7"/>
    </row>
    <row r="27" spans="1:20" x14ac:dyDescent="0.25">
      <c r="A27">
        <v>25</v>
      </c>
      <c r="B27" s="9"/>
      <c r="C27" s="34"/>
      <c r="D27" s="4"/>
      <c r="E27" s="7"/>
      <c r="G27" s="9"/>
      <c r="H27" s="34"/>
      <c r="I27" s="4"/>
      <c r="J27" s="7"/>
      <c r="L27" s="9"/>
      <c r="M27" s="34"/>
      <c r="N27" s="4"/>
      <c r="O27" s="7"/>
      <c r="Q27" s="9"/>
      <c r="R27" s="34"/>
      <c r="S27" s="4"/>
      <c r="T27" s="7"/>
    </row>
    <row r="28" spans="1:20" x14ac:dyDescent="0.25">
      <c r="A28">
        <v>26</v>
      </c>
      <c r="B28" s="9"/>
      <c r="C28" s="34"/>
      <c r="D28" s="4"/>
      <c r="E28" s="7"/>
      <c r="G28" s="9"/>
      <c r="H28" s="34"/>
      <c r="I28" s="4"/>
      <c r="J28" s="7"/>
      <c r="L28" s="9"/>
      <c r="M28" s="34"/>
      <c r="N28" s="4"/>
      <c r="O28" s="7"/>
      <c r="Q28" s="9"/>
      <c r="R28" s="34"/>
      <c r="S28" s="4"/>
      <c r="T28" s="7"/>
    </row>
    <row r="29" spans="1:20" x14ac:dyDescent="0.25">
      <c r="A29">
        <v>27</v>
      </c>
      <c r="B29" s="9"/>
      <c r="C29" s="34"/>
      <c r="D29" s="4"/>
      <c r="E29" s="7"/>
      <c r="G29" s="9"/>
      <c r="H29" s="34"/>
      <c r="I29" s="4"/>
      <c r="J29" s="7"/>
      <c r="L29" s="9"/>
      <c r="M29" s="34"/>
      <c r="N29" s="4"/>
      <c r="O29" s="7"/>
      <c r="Q29" s="9"/>
      <c r="R29" s="34"/>
      <c r="S29" s="4"/>
      <c r="T29" s="7"/>
    </row>
    <row r="30" spans="1:20" x14ac:dyDescent="0.25">
      <c r="A30">
        <v>28</v>
      </c>
      <c r="B30" s="9"/>
      <c r="C30" s="34"/>
      <c r="D30" s="4"/>
      <c r="E30" s="7"/>
      <c r="G30" s="9"/>
      <c r="H30" s="34"/>
      <c r="I30" s="4"/>
      <c r="J30" s="7"/>
      <c r="L30" s="9"/>
      <c r="M30" s="34"/>
      <c r="N30" s="4"/>
      <c r="O30" s="7"/>
      <c r="Q30" s="9"/>
      <c r="R30" s="34"/>
      <c r="S30" s="4"/>
      <c r="T30" s="7"/>
    </row>
    <row r="31" spans="1:20" x14ac:dyDescent="0.25">
      <c r="A31">
        <v>29</v>
      </c>
      <c r="B31" s="9"/>
      <c r="C31" s="34"/>
      <c r="D31" s="4"/>
      <c r="E31" s="7"/>
      <c r="G31" s="9"/>
      <c r="H31" s="34"/>
      <c r="I31" s="4"/>
      <c r="J31" s="7"/>
      <c r="L31" s="9"/>
      <c r="M31" s="34"/>
      <c r="N31" s="4"/>
      <c r="O31" s="7"/>
      <c r="Q31" s="9"/>
      <c r="R31" s="34"/>
      <c r="S31" s="4"/>
      <c r="T31" s="7"/>
    </row>
    <row r="32" spans="1:20" x14ac:dyDescent="0.25">
      <c r="A32">
        <v>30</v>
      </c>
      <c r="B32" s="9"/>
      <c r="C32" s="34"/>
      <c r="D32" s="4"/>
      <c r="E32" s="7"/>
      <c r="G32" s="9"/>
      <c r="H32" s="34"/>
      <c r="I32" s="4"/>
      <c r="J32" s="7"/>
      <c r="L32" s="9"/>
      <c r="M32" s="34"/>
      <c r="N32" s="4"/>
      <c r="O32" s="7"/>
      <c r="Q32" s="9"/>
      <c r="R32" s="34"/>
      <c r="S32" s="4"/>
      <c r="T32" s="7"/>
    </row>
    <row r="33" spans="1:20" x14ac:dyDescent="0.25">
      <c r="A33">
        <v>31</v>
      </c>
      <c r="B33" s="9"/>
      <c r="C33" s="34"/>
      <c r="D33" s="4"/>
      <c r="E33" s="7"/>
      <c r="G33" s="9"/>
      <c r="H33" s="34"/>
      <c r="I33" s="4"/>
      <c r="J33" s="7"/>
      <c r="L33" s="9"/>
      <c r="M33" s="34"/>
      <c r="N33" s="4"/>
      <c r="O33" s="7"/>
      <c r="Q33" s="9"/>
      <c r="R33" s="34"/>
      <c r="S33" s="4"/>
      <c r="T33" s="7"/>
    </row>
    <row r="34" spans="1:20" x14ac:dyDescent="0.25">
      <c r="A34">
        <v>32</v>
      </c>
      <c r="B34" s="9"/>
      <c r="C34" s="34"/>
      <c r="D34" s="4"/>
      <c r="E34" s="7"/>
      <c r="G34" s="9"/>
      <c r="H34" s="34"/>
      <c r="I34" s="4"/>
      <c r="J34" s="7"/>
      <c r="L34" s="9"/>
      <c r="M34" s="34"/>
      <c r="N34" s="4"/>
      <c r="O34" s="7"/>
      <c r="Q34" s="9"/>
      <c r="R34" s="34"/>
      <c r="S34" s="4"/>
      <c r="T34" s="7"/>
    </row>
    <row r="35" spans="1:20" x14ac:dyDescent="0.25">
      <c r="A35">
        <v>33</v>
      </c>
      <c r="B35" s="9"/>
      <c r="C35" s="34"/>
      <c r="D35" s="4"/>
      <c r="E35" s="7"/>
      <c r="G35" s="9"/>
      <c r="H35" s="34"/>
      <c r="I35" s="4"/>
      <c r="J35" s="7"/>
      <c r="L35" s="9"/>
      <c r="M35" s="34"/>
      <c r="N35" s="4"/>
      <c r="O35" s="7"/>
      <c r="Q35" s="9"/>
      <c r="R35" s="34"/>
      <c r="S35" s="4"/>
      <c r="T35" s="7"/>
    </row>
    <row r="36" spans="1:20" x14ac:dyDescent="0.25">
      <c r="A36">
        <v>34</v>
      </c>
      <c r="B36" s="9"/>
      <c r="C36" s="34"/>
      <c r="D36" s="4"/>
      <c r="E36" s="7"/>
      <c r="G36" s="9"/>
      <c r="H36" s="34"/>
      <c r="I36" s="4"/>
      <c r="J36" s="7"/>
      <c r="L36" s="9"/>
      <c r="M36" s="34"/>
      <c r="N36" s="4"/>
      <c r="O36" s="7"/>
      <c r="Q36" s="9"/>
      <c r="R36" s="34"/>
      <c r="S36" s="4"/>
      <c r="T36" s="7"/>
    </row>
    <row r="37" spans="1:20" x14ac:dyDescent="0.25">
      <c r="A37">
        <v>35</v>
      </c>
      <c r="B37" s="9"/>
      <c r="C37" s="34"/>
      <c r="D37" s="4"/>
      <c r="E37" s="7"/>
      <c r="G37" s="9"/>
      <c r="H37" s="34"/>
      <c r="I37" s="4"/>
      <c r="J37" s="7"/>
      <c r="L37" s="9"/>
      <c r="M37" s="34"/>
      <c r="N37" s="4"/>
      <c r="O37" s="7"/>
      <c r="Q37" s="9"/>
      <c r="R37" s="34"/>
      <c r="S37" s="4"/>
      <c r="T37" s="7"/>
    </row>
    <row r="38" spans="1:20" x14ac:dyDescent="0.25">
      <c r="A38">
        <v>36</v>
      </c>
      <c r="B38" s="9"/>
      <c r="C38" s="34"/>
      <c r="D38" s="4"/>
      <c r="E38" s="7"/>
      <c r="G38" s="9"/>
      <c r="H38" s="34"/>
      <c r="I38" s="4"/>
      <c r="J38" s="7"/>
      <c r="L38" s="9"/>
      <c r="M38" s="34"/>
      <c r="N38" s="4"/>
      <c r="O38" s="7"/>
      <c r="Q38" s="9"/>
      <c r="R38" s="34"/>
      <c r="S38" s="4"/>
      <c r="T38" s="7"/>
    </row>
    <row r="39" spans="1:20" x14ac:dyDescent="0.25">
      <c r="A39">
        <v>37</v>
      </c>
      <c r="B39" s="9"/>
      <c r="C39" s="34"/>
      <c r="D39" s="4"/>
      <c r="E39" s="7"/>
      <c r="G39" s="9"/>
      <c r="H39" s="34"/>
      <c r="I39" s="4"/>
      <c r="J39" s="7"/>
      <c r="L39" s="9"/>
      <c r="M39" s="34"/>
      <c r="N39" s="4"/>
      <c r="O39" s="7"/>
      <c r="Q39" s="9"/>
      <c r="R39" s="34"/>
      <c r="S39" s="4"/>
      <c r="T39" s="7"/>
    </row>
    <row r="40" spans="1:20" x14ac:dyDescent="0.25">
      <c r="A40">
        <v>38</v>
      </c>
      <c r="B40" s="9"/>
      <c r="C40" s="34"/>
      <c r="D40" s="4"/>
      <c r="E40" s="7"/>
      <c r="G40" s="9"/>
      <c r="H40" s="34"/>
      <c r="I40" s="4"/>
      <c r="J40" s="7"/>
      <c r="L40" s="9"/>
      <c r="M40" s="34"/>
      <c r="N40" s="4"/>
      <c r="O40" s="7"/>
      <c r="Q40" s="9"/>
      <c r="R40" s="34"/>
      <c r="S40" s="4"/>
      <c r="T40" s="7"/>
    </row>
    <row r="41" spans="1:20" x14ac:dyDescent="0.25">
      <c r="A41">
        <v>39</v>
      </c>
      <c r="B41" s="9"/>
      <c r="C41" s="34"/>
      <c r="D41" s="4"/>
      <c r="E41" s="7"/>
      <c r="G41" s="9"/>
      <c r="H41" s="34"/>
      <c r="I41" s="4"/>
      <c r="J41" s="7"/>
      <c r="L41" s="9"/>
      <c r="M41" s="34"/>
      <c r="N41" s="4"/>
      <c r="O41" s="7"/>
      <c r="Q41" s="9"/>
      <c r="R41" s="34"/>
      <c r="S41" s="4"/>
      <c r="T41" s="7"/>
    </row>
    <row r="42" spans="1:20" x14ac:dyDescent="0.25">
      <c r="A42">
        <v>40</v>
      </c>
      <c r="B42" s="9"/>
      <c r="C42" s="34"/>
      <c r="D42" s="4"/>
      <c r="E42" s="7"/>
      <c r="G42" s="9"/>
      <c r="H42" s="34"/>
      <c r="I42" s="4"/>
      <c r="J42" s="7"/>
      <c r="L42" s="9"/>
      <c r="M42" s="34"/>
      <c r="N42" s="4"/>
      <c r="O42" s="7"/>
      <c r="Q42" s="9"/>
      <c r="R42" s="34"/>
      <c r="S42" s="4"/>
      <c r="T42" s="7"/>
    </row>
    <row r="43" spans="1:20" x14ac:dyDescent="0.25">
      <c r="A43">
        <v>41</v>
      </c>
      <c r="B43" s="9"/>
      <c r="C43" s="34"/>
      <c r="D43" s="4"/>
      <c r="E43" s="7"/>
      <c r="G43" s="9"/>
      <c r="H43" s="34"/>
      <c r="I43" s="4"/>
      <c r="J43" s="7"/>
      <c r="L43" s="9"/>
      <c r="M43" s="34"/>
      <c r="N43" s="4"/>
      <c r="O43" s="7"/>
      <c r="Q43" s="9"/>
      <c r="R43" s="34"/>
      <c r="S43" s="4"/>
      <c r="T43" s="7"/>
    </row>
    <row r="44" spans="1:20" x14ac:dyDescent="0.25">
      <c r="A44">
        <v>42</v>
      </c>
      <c r="B44" s="9"/>
      <c r="C44" s="34"/>
      <c r="D44" s="4"/>
      <c r="E44" s="7"/>
      <c r="G44" s="9"/>
      <c r="H44" s="34"/>
      <c r="I44" s="4"/>
      <c r="J44" s="7"/>
      <c r="L44" s="9"/>
      <c r="M44" s="34"/>
      <c r="N44" s="4"/>
      <c r="O44" s="7"/>
      <c r="Q44" s="9"/>
      <c r="R44" s="34"/>
      <c r="S44" s="4"/>
      <c r="T44" s="7"/>
    </row>
    <row r="45" spans="1:20" x14ac:dyDescent="0.25">
      <c r="A45">
        <v>43</v>
      </c>
      <c r="B45" s="9"/>
      <c r="C45" s="34"/>
      <c r="D45" s="4"/>
      <c r="E45" s="7"/>
      <c r="G45" s="9"/>
      <c r="H45" s="34"/>
      <c r="I45" s="4"/>
      <c r="J45" s="7"/>
      <c r="L45" s="9"/>
      <c r="M45" s="34"/>
      <c r="N45" s="4"/>
      <c r="O45" s="7"/>
      <c r="Q45" s="9"/>
      <c r="R45" s="34"/>
      <c r="S45" s="4"/>
      <c r="T45" s="7"/>
    </row>
    <row r="46" spans="1:20" x14ac:dyDescent="0.25">
      <c r="A46">
        <v>44</v>
      </c>
      <c r="B46" s="9"/>
      <c r="C46" s="34"/>
      <c r="D46" s="4"/>
      <c r="E46" s="7"/>
      <c r="G46" s="9"/>
      <c r="H46" s="34"/>
      <c r="I46" s="4"/>
      <c r="J46" s="7"/>
      <c r="L46" s="9"/>
      <c r="M46" s="34"/>
      <c r="N46" s="4"/>
      <c r="O46" s="7"/>
      <c r="Q46" s="9"/>
      <c r="R46" s="34"/>
      <c r="S46" s="4"/>
      <c r="T46" s="7"/>
    </row>
    <row r="47" spans="1:20" x14ac:dyDescent="0.25">
      <c r="A47">
        <v>45</v>
      </c>
      <c r="B47" s="9"/>
      <c r="C47" s="34"/>
      <c r="D47" s="4"/>
      <c r="E47" s="7"/>
      <c r="G47" s="9"/>
      <c r="H47" s="34"/>
      <c r="I47" s="4"/>
      <c r="J47" s="7"/>
      <c r="L47" s="9"/>
      <c r="M47" s="34"/>
      <c r="N47" s="4"/>
      <c r="O47" s="7"/>
      <c r="Q47" s="9"/>
      <c r="R47" s="34"/>
      <c r="S47" s="4"/>
      <c r="T47" s="7"/>
    </row>
    <row r="48" spans="1:20" x14ac:dyDescent="0.25">
      <c r="A48">
        <v>46</v>
      </c>
      <c r="B48" s="9"/>
      <c r="C48" s="34"/>
      <c r="D48" s="4"/>
      <c r="E48" s="7"/>
      <c r="G48" s="9"/>
      <c r="H48" s="34"/>
      <c r="I48" s="4"/>
      <c r="J48" s="7"/>
      <c r="L48" s="9"/>
      <c r="M48" s="34"/>
      <c r="N48" s="4"/>
      <c r="O48" s="7"/>
      <c r="Q48" s="9"/>
      <c r="R48" s="34"/>
      <c r="S48" s="4"/>
      <c r="T48" s="7"/>
    </row>
    <row r="49" spans="1:20" x14ac:dyDescent="0.25">
      <c r="A49">
        <v>47</v>
      </c>
      <c r="B49" s="9"/>
      <c r="C49" s="34"/>
      <c r="D49" s="4"/>
      <c r="E49" s="7"/>
      <c r="G49" s="9"/>
      <c r="H49" s="34"/>
      <c r="I49" s="4"/>
      <c r="J49" s="7"/>
      <c r="L49" s="9"/>
      <c r="M49" s="34"/>
      <c r="N49" s="4"/>
      <c r="O49" s="7"/>
      <c r="Q49" s="9"/>
      <c r="R49" s="34"/>
      <c r="S49" s="4"/>
      <c r="T49" s="7"/>
    </row>
    <row r="50" spans="1:20" x14ac:dyDescent="0.25">
      <c r="A50">
        <v>48</v>
      </c>
      <c r="B50" s="9"/>
      <c r="C50" s="34"/>
      <c r="D50" s="4"/>
      <c r="E50" s="7"/>
      <c r="G50" s="9"/>
      <c r="H50" s="34"/>
      <c r="I50" s="4"/>
      <c r="J50" s="7"/>
      <c r="L50" s="9"/>
      <c r="M50" s="34"/>
      <c r="N50" s="4"/>
      <c r="O50" s="7"/>
      <c r="Q50" s="9"/>
      <c r="R50" s="34"/>
      <c r="S50" s="4"/>
      <c r="T50" s="7"/>
    </row>
    <row r="51" spans="1:20" x14ac:dyDescent="0.25">
      <c r="A51">
        <v>49</v>
      </c>
      <c r="B51" s="9"/>
      <c r="C51" s="34"/>
      <c r="D51" s="4"/>
      <c r="E51" s="7"/>
      <c r="G51" s="9"/>
      <c r="H51" s="34"/>
      <c r="I51" s="4"/>
      <c r="J51" s="7"/>
      <c r="L51" s="9"/>
      <c r="M51" s="34"/>
      <c r="N51" s="4"/>
      <c r="O51" s="7"/>
      <c r="Q51" s="9"/>
      <c r="R51" s="34"/>
      <c r="S51" s="4"/>
      <c r="T51" s="7"/>
    </row>
    <row r="52" spans="1:20" x14ac:dyDescent="0.25">
      <c r="A52">
        <v>50</v>
      </c>
      <c r="B52" s="9"/>
      <c r="C52" s="34"/>
      <c r="D52" s="4"/>
      <c r="E52" s="7"/>
      <c r="G52" s="9"/>
      <c r="H52" s="34"/>
      <c r="I52" s="4"/>
      <c r="J52" s="7"/>
      <c r="L52" s="9"/>
      <c r="M52" s="34"/>
      <c r="N52" s="4"/>
      <c r="O52" s="7"/>
      <c r="Q52" s="9"/>
      <c r="R52" s="34"/>
      <c r="S52" s="4"/>
      <c r="T52" s="7"/>
    </row>
    <row r="53" spans="1:20" x14ac:dyDescent="0.25">
      <c r="A53">
        <v>51</v>
      </c>
      <c r="B53" s="9"/>
      <c r="C53" s="34"/>
      <c r="D53" s="4"/>
      <c r="E53" s="7"/>
      <c r="G53" s="9"/>
      <c r="H53" s="34"/>
      <c r="I53" s="4"/>
      <c r="J53" s="7"/>
      <c r="L53" s="9"/>
      <c r="M53" s="34"/>
      <c r="N53" s="4"/>
      <c r="O53" s="7"/>
      <c r="Q53" s="9"/>
      <c r="R53" s="34"/>
      <c r="S53" s="4"/>
      <c r="T53" s="7"/>
    </row>
    <row r="54" spans="1:20" x14ac:dyDescent="0.25">
      <c r="A54">
        <v>52</v>
      </c>
      <c r="B54" s="9"/>
      <c r="C54" s="34"/>
      <c r="D54" s="4"/>
      <c r="E54" s="7"/>
      <c r="G54" s="9"/>
      <c r="H54" s="34"/>
      <c r="I54" s="4"/>
      <c r="J54" s="7"/>
      <c r="L54" s="9"/>
      <c r="M54" s="34"/>
      <c r="N54" s="4"/>
      <c r="O54" s="7"/>
      <c r="Q54" s="9"/>
      <c r="R54" s="34"/>
      <c r="S54" s="4"/>
      <c r="T54" s="7"/>
    </row>
    <row r="55" spans="1:20" x14ac:dyDescent="0.25">
      <c r="A55">
        <v>53</v>
      </c>
      <c r="B55" s="9"/>
      <c r="C55" s="34"/>
      <c r="D55" s="4"/>
      <c r="E55" s="7"/>
      <c r="G55" s="9"/>
      <c r="H55" s="34"/>
      <c r="I55" s="4"/>
      <c r="J55" s="7"/>
      <c r="L55" s="9"/>
      <c r="M55" s="34"/>
      <c r="N55" s="4"/>
      <c r="O55" s="7"/>
      <c r="Q55" s="9"/>
      <c r="R55" s="34"/>
      <c r="S55" s="4"/>
      <c r="T55" s="7"/>
    </row>
    <row r="56" spans="1:20" x14ac:dyDescent="0.25">
      <c r="A56">
        <v>54</v>
      </c>
      <c r="B56" s="9"/>
      <c r="C56" s="34"/>
      <c r="D56" s="4"/>
      <c r="E56" s="7"/>
      <c r="G56" s="9"/>
      <c r="H56" s="34"/>
      <c r="I56" s="4"/>
      <c r="J56" s="7"/>
      <c r="L56" s="9"/>
      <c r="M56" s="34"/>
      <c r="N56" s="4"/>
      <c r="O56" s="7"/>
      <c r="Q56" s="9"/>
      <c r="R56" s="34"/>
      <c r="S56" s="4"/>
      <c r="T56" s="7"/>
    </row>
    <row r="57" spans="1:20" x14ac:dyDescent="0.25">
      <c r="A57">
        <v>55</v>
      </c>
      <c r="B57" s="9"/>
      <c r="C57" s="34"/>
      <c r="D57" s="4"/>
      <c r="E57" s="7"/>
      <c r="G57" s="9"/>
      <c r="H57" s="34"/>
      <c r="I57" s="4"/>
      <c r="J57" s="7"/>
      <c r="L57" s="9"/>
      <c r="M57" s="34"/>
      <c r="N57" s="4"/>
      <c r="O57" s="7"/>
      <c r="Q57" s="9"/>
      <c r="R57" s="34"/>
      <c r="S57" s="4"/>
      <c r="T57" s="7"/>
    </row>
    <row r="58" spans="1:20" x14ac:dyDescent="0.25">
      <c r="A58">
        <v>56</v>
      </c>
      <c r="B58" s="9"/>
      <c r="C58" s="34"/>
      <c r="D58" s="4"/>
      <c r="E58" s="7"/>
      <c r="G58" s="9"/>
      <c r="H58" s="34"/>
      <c r="I58" s="4"/>
      <c r="J58" s="7"/>
      <c r="L58" s="9"/>
      <c r="M58" s="34"/>
      <c r="N58" s="4"/>
      <c r="O58" s="7"/>
      <c r="Q58" s="9"/>
      <c r="R58" s="34"/>
      <c r="S58" s="4"/>
      <c r="T58" s="7"/>
    </row>
    <row r="59" spans="1:20" x14ac:dyDescent="0.25">
      <c r="A59">
        <v>57</v>
      </c>
      <c r="B59" s="9"/>
      <c r="C59" s="34"/>
      <c r="D59" s="4"/>
      <c r="E59" s="7"/>
      <c r="G59" s="9"/>
      <c r="H59" s="34"/>
      <c r="I59" s="4"/>
      <c r="J59" s="7"/>
      <c r="L59" s="9"/>
      <c r="M59" s="34"/>
      <c r="N59" s="4"/>
      <c r="O59" s="7"/>
      <c r="Q59" s="9"/>
      <c r="R59" s="34"/>
      <c r="S59" s="4"/>
      <c r="T59" s="7"/>
    </row>
    <row r="60" spans="1:20" x14ac:dyDescent="0.25">
      <c r="A60">
        <v>58</v>
      </c>
      <c r="B60" s="9"/>
      <c r="C60" s="34"/>
      <c r="D60" s="4"/>
      <c r="E60" s="7"/>
      <c r="G60" s="9"/>
      <c r="H60" s="34"/>
      <c r="I60" s="4"/>
      <c r="J60" s="7"/>
      <c r="L60" s="9"/>
      <c r="M60" s="34"/>
      <c r="N60" s="4"/>
      <c r="O60" s="7"/>
      <c r="Q60" s="9"/>
      <c r="R60" s="34"/>
      <c r="S60" s="4"/>
      <c r="T60" s="7"/>
    </row>
    <row r="61" spans="1:20" x14ac:dyDescent="0.25">
      <c r="A61">
        <v>59</v>
      </c>
      <c r="B61" s="9"/>
      <c r="C61" s="34"/>
      <c r="D61" s="4"/>
      <c r="E61" s="7"/>
      <c r="G61" s="9"/>
      <c r="H61" s="34"/>
      <c r="I61" s="4"/>
      <c r="J61" s="7"/>
      <c r="L61" s="9"/>
      <c r="M61" s="34"/>
      <c r="N61" s="4"/>
      <c r="O61" s="7"/>
      <c r="Q61" s="9"/>
      <c r="R61" s="34"/>
      <c r="S61" s="4"/>
      <c r="T61" s="7"/>
    </row>
    <row r="62" spans="1:20" x14ac:dyDescent="0.25">
      <c r="A62">
        <v>60</v>
      </c>
      <c r="B62" s="9"/>
      <c r="C62" s="34"/>
      <c r="D62" s="4"/>
      <c r="E62" s="7"/>
      <c r="G62" s="9"/>
      <c r="H62" s="34"/>
      <c r="I62" s="4"/>
      <c r="J62" s="7"/>
      <c r="L62" s="9"/>
      <c r="M62" s="34"/>
      <c r="N62" s="4"/>
      <c r="O62" s="7"/>
      <c r="Q62" s="9"/>
      <c r="R62" s="34"/>
      <c r="S62" s="4"/>
      <c r="T62" s="7"/>
    </row>
    <row r="63" spans="1:20" x14ac:dyDescent="0.25">
      <c r="A63">
        <v>61</v>
      </c>
      <c r="B63" s="9"/>
      <c r="C63" s="34"/>
      <c r="D63" s="4"/>
      <c r="E63" s="7"/>
      <c r="G63" s="9"/>
      <c r="H63" s="34"/>
      <c r="I63" s="4"/>
      <c r="J63" s="7"/>
      <c r="L63" s="9"/>
      <c r="M63" s="34"/>
      <c r="N63" s="4"/>
      <c r="O63" s="7"/>
      <c r="Q63" s="9"/>
      <c r="R63" s="34"/>
      <c r="S63" s="4"/>
      <c r="T63" s="7"/>
    </row>
    <row r="64" spans="1:20" x14ac:dyDescent="0.25">
      <c r="A64">
        <v>62</v>
      </c>
      <c r="B64" s="9"/>
      <c r="C64" s="34"/>
      <c r="D64" s="4"/>
      <c r="E64" s="7"/>
      <c r="G64" s="9"/>
      <c r="H64" s="34"/>
      <c r="I64" s="4"/>
      <c r="J64" s="7"/>
      <c r="L64" s="9"/>
      <c r="M64" s="34"/>
      <c r="N64" s="4"/>
      <c r="O64" s="7"/>
      <c r="Q64" s="9"/>
      <c r="R64" s="34"/>
      <c r="S64" s="4"/>
      <c r="T64" s="7"/>
    </row>
    <row r="65" spans="1:20" x14ac:dyDescent="0.25">
      <c r="A65">
        <v>63</v>
      </c>
      <c r="B65" s="9"/>
      <c r="C65" s="34"/>
      <c r="D65" s="4"/>
      <c r="E65" s="7"/>
      <c r="G65" s="9"/>
      <c r="H65" s="34"/>
      <c r="I65" s="4"/>
      <c r="J65" s="7"/>
      <c r="L65" s="9"/>
      <c r="M65" s="34"/>
      <c r="N65" s="4"/>
      <c r="O65" s="7"/>
      <c r="Q65" s="9"/>
      <c r="R65" s="34"/>
      <c r="S65" s="4"/>
      <c r="T65" s="7"/>
    </row>
    <row r="66" spans="1:20" x14ac:dyDescent="0.25">
      <c r="A66">
        <v>64</v>
      </c>
      <c r="B66" s="9"/>
      <c r="C66" s="34"/>
      <c r="D66" s="4"/>
      <c r="E66" s="7"/>
      <c r="G66" s="9"/>
      <c r="H66" s="34"/>
      <c r="I66" s="4"/>
      <c r="J66" s="7"/>
      <c r="L66" s="9"/>
      <c r="M66" s="34"/>
      <c r="N66" s="4"/>
      <c r="O66" s="7"/>
      <c r="Q66" s="9"/>
      <c r="R66" s="34"/>
      <c r="S66" s="4"/>
      <c r="T66" s="7"/>
    </row>
    <row r="67" spans="1:20" x14ac:dyDescent="0.25">
      <c r="A67">
        <v>65</v>
      </c>
      <c r="B67" s="9"/>
      <c r="C67" s="34"/>
      <c r="D67" s="4"/>
      <c r="E67" s="7"/>
      <c r="G67" s="9"/>
      <c r="H67" s="34"/>
      <c r="I67" s="4"/>
      <c r="J67" s="7"/>
      <c r="L67" s="9"/>
      <c r="M67" s="34"/>
      <c r="N67" s="4"/>
      <c r="O67" s="7"/>
      <c r="Q67" s="9"/>
      <c r="R67" s="34"/>
      <c r="S67" s="4"/>
      <c r="T67" s="7"/>
    </row>
    <row r="68" spans="1:20" x14ac:dyDescent="0.25">
      <c r="A68">
        <v>66</v>
      </c>
      <c r="B68" s="9"/>
      <c r="C68" s="34"/>
      <c r="D68" s="4"/>
      <c r="E68" s="7"/>
      <c r="G68" s="9"/>
      <c r="H68" s="34"/>
      <c r="I68" s="4"/>
      <c r="J68" s="7"/>
      <c r="L68" s="9"/>
      <c r="M68" s="34"/>
      <c r="N68" s="4"/>
      <c r="O68" s="7"/>
      <c r="Q68" s="9"/>
      <c r="R68" s="34"/>
      <c r="S68" s="4"/>
      <c r="T68" s="7"/>
    </row>
    <row r="69" spans="1:20" x14ac:dyDescent="0.25">
      <c r="A69">
        <v>67</v>
      </c>
      <c r="B69" s="9"/>
      <c r="C69" s="34"/>
      <c r="D69" s="4"/>
      <c r="E69" s="7"/>
      <c r="G69" s="9"/>
      <c r="H69" s="34"/>
      <c r="I69" s="4"/>
      <c r="J69" s="7"/>
      <c r="L69" s="9"/>
      <c r="M69" s="34"/>
      <c r="N69" s="4"/>
      <c r="O69" s="7"/>
      <c r="Q69" s="9"/>
      <c r="R69" s="34"/>
      <c r="S69" s="4"/>
      <c r="T69" s="7"/>
    </row>
    <row r="70" spans="1:20" x14ac:dyDescent="0.25">
      <c r="A70">
        <v>68</v>
      </c>
      <c r="B70" s="9"/>
      <c r="C70" s="34"/>
      <c r="D70" s="4"/>
      <c r="E70" s="7"/>
      <c r="G70" s="9"/>
      <c r="H70" s="34"/>
      <c r="I70" s="4"/>
      <c r="J70" s="7"/>
      <c r="L70" s="9"/>
      <c r="M70" s="34"/>
      <c r="N70" s="4"/>
      <c r="O70" s="7"/>
      <c r="Q70" s="9"/>
      <c r="R70" s="34"/>
      <c r="S70" s="4"/>
      <c r="T70" s="7"/>
    </row>
    <row r="71" spans="1:20" x14ac:dyDescent="0.25">
      <c r="A71">
        <v>69</v>
      </c>
      <c r="B71" s="9"/>
      <c r="C71" s="34"/>
      <c r="D71" s="4"/>
      <c r="E71" s="7"/>
      <c r="G71" s="9"/>
      <c r="H71" s="34"/>
      <c r="I71" s="4"/>
      <c r="J71" s="7"/>
      <c r="L71" s="9"/>
      <c r="M71" s="34"/>
      <c r="N71" s="4"/>
      <c r="O71" s="7"/>
      <c r="Q71" s="9"/>
      <c r="R71" s="34"/>
      <c r="S71" s="4"/>
      <c r="T71" s="7"/>
    </row>
    <row r="72" spans="1:20" x14ac:dyDescent="0.25">
      <c r="A72">
        <v>70</v>
      </c>
      <c r="B72" s="9"/>
      <c r="C72" s="34"/>
      <c r="D72" s="4"/>
      <c r="E72" s="7"/>
      <c r="G72" s="9"/>
      <c r="H72" s="34"/>
      <c r="I72" s="4"/>
      <c r="J72" s="7"/>
      <c r="L72" s="9"/>
      <c r="M72" s="34"/>
      <c r="N72" s="4"/>
      <c r="O72" s="7"/>
      <c r="Q72" s="9"/>
      <c r="R72" s="34"/>
      <c r="S72" s="4"/>
      <c r="T72" s="7"/>
    </row>
    <row r="73" spans="1:20" x14ac:dyDescent="0.25">
      <c r="A73">
        <v>71</v>
      </c>
      <c r="B73" s="9"/>
      <c r="C73" s="34"/>
      <c r="D73" s="4"/>
      <c r="E73" s="7"/>
      <c r="G73" s="9"/>
      <c r="H73" s="34"/>
      <c r="I73" s="4"/>
      <c r="J73" s="7"/>
      <c r="L73" s="9"/>
      <c r="M73" s="34"/>
      <c r="N73" s="4"/>
      <c r="O73" s="7"/>
      <c r="Q73" s="9"/>
      <c r="R73" s="34"/>
      <c r="S73" s="4"/>
      <c r="T73" s="7"/>
    </row>
    <row r="74" spans="1:20" x14ac:dyDescent="0.25">
      <c r="A74">
        <v>72</v>
      </c>
      <c r="B74" s="9"/>
      <c r="C74" s="34"/>
      <c r="D74" s="4"/>
      <c r="E74" s="7"/>
      <c r="G74" s="9"/>
      <c r="H74" s="34"/>
      <c r="I74" s="4"/>
      <c r="J74" s="7"/>
      <c r="L74" s="9"/>
      <c r="M74" s="34"/>
      <c r="N74" s="4"/>
      <c r="O74" s="7"/>
      <c r="Q74" s="9"/>
      <c r="R74" s="34"/>
      <c r="S74" s="4"/>
      <c r="T74" s="7"/>
    </row>
    <row r="75" spans="1:20" x14ac:dyDescent="0.25">
      <c r="A75">
        <v>73</v>
      </c>
      <c r="B75" s="9"/>
      <c r="C75" s="34"/>
      <c r="D75" s="4"/>
      <c r="E75" s="7"/>
      <c r="G75" s="9"/>
      <c r="H75" s="34"/>
      <c r="I75" s="4"/>
      <c r="J75" s="7"/>
      <c r="L75" s="9"/>
      <c r="M75" s="34"/>
      <c r="N75" s="4"/>
      <c r="O75" s="7"/>
      <c r="Q75" s="9"/>
      <c r="R75" s="34"/>
      <c r="S75" s="4"/>
      <c r="T75" s="7"/>
    </row>
    <row r="76" spans="1:20" x14ac:dyDescent="0.25">
      <c r="A76">
        <v>74</v>
      </c>
      <c r="B76" s="9"/>
      <c r="C76" s="34"/>
      <c r="D76" s="4"/>
      <c r="E76" s="7"/>
      <c r="G76" s="9"/>
      <c r="H76" s="34"/>
      <c r="I76" s="4"/>
      <c r="J76" s="7"/>
      <c r="L76" s="9"/>
      <c r="M76" s="34"/>
      <c r="N76" s="4"/>
      <c r="O76" s="7"/>
      <c r="Q76" s="9"/>
      <c r="R76" s="34"/>
      <c r="S76" s="4"/>
      <c r="T76" s="7"/>
    </row>
    <row r="77" spans="1:20" x14ac:dyDescent="0.25">
      <c r="A77">
        <v>75</v>
      </c>
      <c r="B77" s="9"/>
      <c r="C77" s="34"/>
      <c r="D77" s="4"/>
      <c r="E77" s="7"/>
      <c r="G77" s="9"/>
      <c r="H77" s="34"/>
      <c r="I77" s="4"/>
      <c r="J77" s="7"/>
      <c r="L77" s="9"/>
      <c r="M77" s="34"/>
      <c r="N77" s="4"/>
      <c r="O77" s="7"/>
      <c r="Q77" s="9"/>
      <c r="R77" s="34"/>
      <c r="S77" s="4"/>
      <c r="T77" s="7"/>
    </row>
    <row r="78" spans="1:20" x14ac:dyDescent="0.25">
      <c r="A78">
        <v>76</v>
      </c>
      <c r="B78" s="9"/>
      <c r="C78" s="34"/>
      <c r="D78" s="4"/>
      <c r="E78" s="7"/>
      <c r="G78" s="9"/>
      <c r="H78" s="34"/>
      <c r="I78" s="4"/>
      <c r="J78" s="7"/>
      <c r="L78" s="9"/>
      <c r="M78" s="34"/>
      <c r="N78" s="4"/>
      <c r="O78" s="7"/>
      <c r="Q78" s="9"/>
      <c r="R78" s="34"/>
      <c r="S78" s="4"/>
      <c r="T78" s="7"/>
    </row>
    <row r="79" spans="1:20" x14ac:dyDescent="0.25">
      <c r="A79">
        <v>77</v>
      </c>
      <c r="B79" s="9"/>
      <c r="C79" s="34"/>
      <c r="D79" s="4"/>
      <c r="E79" s="7"/>
      <c r="G79" s="9"/>
      <c r="H79" s="34"/>
      <c r="I79" s="4"/>
      <c r="J79" s="7"/>
      <c r="L79" s="9"/>
      <c r="M79" s="34"/>
      <c r="N79" s="4"/>
      <c r="O79" s="7"/>
      <c r="Q79" s="9"/>
      <c r="R79" s="34"/>
      <c r="S79" s="4"/>
      <c r="T79" s="7"/>
    </row>
    <row r="80" spans="1:20" x14ac:dyDescent="0.25">
      <c r="A80">
        <v>78</v>
      </c>
      <c r="B80" s="9"/>
      <c r="C80" s="34"/>
      <c r="D80" s="4"/>
      <c r="E80" s="7"/>
      <c r="G80" s="9"/>
      <c r="H80" s="34"/>
      <c r="I80" s="4"/>
      <c r="J80" s="7"/>
      <c r="L80" s="9"/>
      <c r="M80" s="34"/>
      <c r="N80" s="4"/>
      <c r="O80" s="7"/>
      <c r="Q80" s="9"/>
      <c r="R80" s="34"/>
      <c r="S80" s="4"/>
      <c r="T80" s="7"/>
    </row>
    <row r="81" spans="1:20" x14ac:dyDescent="0.25">
      <c r="A81">
        <v>79</v>
      </c>
      <c r="B81" s="9"/>
      <c r="C81" s="34"/>
      <c r="D81" s="4"/>
      <c r="E81" s="7"/>
      <c r="G81" s="9"/>
      <c r="H81" s="34"/>
      <c r="I81" s="4"/>
      <c r="J81" s="7"/>
      <c r="L81" s="9"/>
      <c r="M81" s="34"/>
      <c r="N81" s="4"/>
      <c r="O81" s="7"/>
      <c r="Q81" s="9"/>
      <c r="R81" s="34"/>
      <c r="S81" s="4"/>
      <c r="T81" s="7"/>
    </row>
    <row r="82" spans="1:20" x14ac:dyDescent="0.25">
      <c r="A82">
        <v>80</v>
      </c>
      <c r="B82" s="9"/>
      <c r="C82" s="34"/>
      <c r="D82" s="4"/>
      <c r="E82" s="7"/>
      <c r="G82" s="9"/>
      <c r="H82" s="34"/>
      <c r="I82" s="4"/>
      <c r="J82" s="7"/>
      <c r="L82" s="9"/>
      <c r="M82" s="34"/>
      <c r="N82" s="4"/>
      <c r="O82" s="7"/>
      <c r="Q82" s="9"/>
      <c r="R82" s="34"/>
      <c r="S82" s="4"/>
      <c r="T82" s="7"/>
    </row>
    <row r="83" spans="1:20" x14ac:dyDescent="0.25">
      <c r="A83">
        <v>81</v>
      </c>
      <c r="B83" s="9"/>
      <c r="C83" s="34"/>
      <c r="D83" s="4"/>
      <c r="E83" s="7"/>
      <c r="G83" s="9"/>
      <c r="H83" s="34"/>
      <c r="I83" s="4"/>
      <c r="J83" s="7"/>
      <c r="L83" s="9"/>
      <c r="M83" s="34"/>
      <c r="N83" s="4"/>
      <c r="O83" s="7"/>
      <c r="Q83" s="9"/>
      <c r="R83" s="34"/>
      <c r="S83" s="4"/>
      <c r="T83" s="7"/>
    </row>
    <row r="84" spans="1:20" x14ac:dyDescent="0.25">
      <c r="A84">
        <v>82</v>
      </c>
      <c r="B84" s="9"/>
      <c r="C84" s="34"/>
      <c r="D84" s="4"/>
      <c r="E84" s="7"/>
      <c r="G84" s="9"/>
      <c r="H84" s="34"/>
      <c r="I84" s="4"/>
      <c r="J84" s="7"/>
      <c r="L84" s="9"/>
      <c r="M84" s="34"/>
      <c r="N84" s="4"/>
      <c r="O84" s="7"/>
      <c r="Q84" s="9"/>
      <c r="R84" s="34"/>
      <c r="S84" s="4"/>
      <c r="T84" s="7"/>
    </row>
    <row r="85" spans="1:20" x14ac:dyDescent="0.25">
      <c r="A85">
        <v>83</v>
      </c>
      <c r="B85" s="9"/>
      <c r="C85" s="34"/>
      <c r="D85" s="4"/>
      <c r="E85" s="7"/>
      <c r="G85" s="9"/>
      <c r="H85" s="34"/>
      <c r="I85" s="4"/>
      <c r="J85" s="7"/>
      <c r="L85" s="9"/>
      <c r="M85" s="34"/>
      <c r="N85" s="4"/>
      <c r="O85" s="7"/>
      <c r="Q85" s="9"/>
      <c r="R85" s="34"/>
      <c r="S85" s="4"/>
      <c r="T85" s="7"/>
    </row>
    <row r="86" spans="1:20" x14ac:dyDescent="0.25">
      <c r="A86">
        <v>84</v>
      </c>
      <c r="B86" s="9"/>
      <c r="C86" s="34"/>
      <c r="D86" s="4"/>
      <c r="E86" s="7"/>
      <c r="G86" s="9"/>
      <c r="H86" s="34"/>
      <c r="I86" s="4"/>
      <c r="J86" s="7"/>
      <c r="L86" s="9"/>
      <c r="M86" s="34"/>
      <c r="N86" s="4"/>
      <c r="O86" s="7"/>
      <c r="Q86" s="9"/>
      <c r="R86" s="34"/>
      <c r="S86" s="4"/>
      <c r="T86" s="7"/>
    </row>
    <row r="87" spans="1:20" x14ac:dyDescent="0.25">
      <c r="A87">
        <v>85</v>
      </c>
      <c r="B87" s="9"/>
      <c r="C87" s="34"/>
      <c r="D87" s="4"/>
      <c r="E87" s="7"/>
      <c r="G87" s="9"/>
      <c r="H87" s="34"/>
      <c r="I87" s="4"/>
      <c r="J87" s="7"/>
      <c r="L87" s="9"/>
      <c r="M87" s="34"/>
      <c r="N87" s="4"/>
      <c r="O87" s="7"/>
      <c r="Q87" s="9"/>
      <c r="R87" s="34"/>
      <c r="S87" s="4"/>
      <c r="T87" s="7"/>
    </row>
    <row r="88" spans="1:20" x14ac:dyDescent="0.25">
      <c r="A88">
        <v>86</v>
      </c>
      <c r="B88" s="9"/>
      <c r="C88" s="34"/>
      <c r="D88" s="4"/>
      <c r="E88" s="7"/>
      <c r="G88" s="9"/>
      <c r="H88" s="34"/>
      <c r="I88" s="4"/>
      <c r="J88" s="7"/>
      <c r="L88" s="9"/>
      <c r="M88" s="34"/>
      <c r="N88" s="4"/>
      <c r="O88" s="7"/>
      <c r="Q88" s="9"/>
      <c r="R88" s="34"/>
      <c r="S88" s="4"/>
      <c r="T88" s="7"/>
    </row>
    <row r="89" spans="1:20" x14ac:dyDescent="0.25">
      <c r="A89">
        <v>87</v>
      </c>
      <c r="B89" s="9"/>
      <c r="C89" s="34"/>
      <c r="D89" s="4"/>
      <c r="E89" s="7"/>
      <c r="G89" s="9"/>
      <c r="H89" s="34"/>
      <c r="I89" s="4"/>
      <c r="J89" s="7"/>
      <c r="L89" s="9"/>
      <c r="M89" s="34"/>
      <c r="N89" s="4"/>
      <c r="O89" s="7"/>
      <c r="Q89" s="9"/>
      <c r="R89" s="34"/>
      <c r="S89" s="4"/>
      <c r="T89" s="7"/>
    </row>
    <row r="90" spans="1:20" x14ac:dyDescent="0.25">
      <c r="A90">
        <v>88</v>
      </c>
      <c r="B90" s="9"/>
      <c r="C90" s="34"/>
      <c r="D90" s="4"/>
      <c r="E90" s="7"/>
      <c r="G90" s="9"/>
      <c r="H90" s="34"/>
      <c r="I90" s="4"/>
      <c r="J90" s="7"/>
      <c r="L90" s="9"/>
      <c r="M90" s="34"/>
      <c r="N90" s="4"/>
      <c r="O90" s="7"/>
      <c r="Q90" s="9"/>
      <c r="R90" s="34"/>
      <c r="S90" s="4"/>
      <c r="T90" s="7"/>
    </row>
    <row r="91" spans="1:20" x14ac:dyDescent="0.25">
      <c r="A91">
        <v>89</v>
      </c>
      <c r="B91" s="9"/>
      <c r="C91" s="34"/>
      <c r="D91" s="4"/>
      <c r="E91" s="7"/>
      <c r="G91" s="9"/>
      <c r="H91" s="34"/>
      <c r="I91" s="4"/>
      <c r="J91" s="7"/>
      <c r="L91" s="9"/>
      <c r="M91" s="34"/>
      <c r="N91" s="4"/>
      <c r="O91" s="7"/>
      <c r="Q91" s="9"/>
      <c r="R91" s="34"/>
      <c r="S91" s="4"/>
      <c r="T91" s="7"/>
    </row>
    <row r="92" spans="1:20" x14ac:dyDescent="0.25">
      <c r="A92">
        <v>90</v>
      </c>
      <c r="B92" s="9"/>
      <c r="C92" s="34"/>
      <c r="D92" s="4"/>
      <c r="E92" s="7"/>
      <c r="G92" s="9"/>
      <c r="H92" s="34"/>
      <c r="I92" s="4"/>
      <c r="J92" s="7"/>
      <c r="L92" s="9"/>
      <c r="M92" s="34"/>
      <c r="N92" s="4"/>
      <c r="O92" s="7"/>
      <c r="Q92" s="9"/>
      <c r="R92" s="34"/>
      <c r="S92" s="4"/>
      <c r="T92" s="7"/>
    </row>
    <row r="93" spans="1:20" x14ac:dyDescent="0.25">
      <c r="A93">
        <v>91</v>
      </c>
      <c r="B93" s="9"/>
      <c r="C93" s="34"/>
      <c r="D93" s="4"/>
      <c r="E93" s="7"/>
      <c r="G93" s="9"/>
      <c r="H93" s="34"/>
      <c r="I93" s="4"/>
      <c r="J93" s="7"/>
      <c r="L93" s="9"/>
      <c r="M93" s="34"/>
      <c r="N93" s="4"/>
      <c r="O93" s="7"/>
      <c r="Q93" s="9"/>
      <c r="R93" s="34"/>
      <c r="S93" s="4"/>
      <c r="T93" s="7"/>
    </row>
    <row r="94" spans="1:20" x14ac:dyDescent="0.25">
      <c r="A94">
        <v>92</v>
      </c>
      <c r="B94" s="9"/>
      <c r="C94" s="34"/>
      <c r="D94" s="4"/>
      <c r="E94" s="7"/>
      <c r="G94" s="9"/>
      <c r="H94" s="34"/>
      <c r="I94" s="4"/>
      <c r="J94" s="7"/>
      <c r="L94" s="9"/>
      <c r="M94" s="34"/>
      <c r="N94" s="4"/>
      <c r="O94" s="7"/>
      <c r="Q94" s="9"/>
      <c r="R94" s="34"/>
      <c r="S94" s="4"/>
      <c r="T94" s="7"/>
    </row>
    <row r="95" spans="1:20" x14ac:dyDescent="0.25">
      <c r="A95">
        <v>93</v>
      </c>
      <c r="B95" s="9"/>
      <c r="C95" s="34"/>
      <c r="D95" s="4"/>
      <c r="E95" s="7"/>
      <c r="G95" s="9"/>
      <c r="H95" s="34"/>
      <c r="I95" s="4"/>
      <c r="J95" s="7"/>
      <c r="L95" s="9"/>
      <c r="M95" s="34"/>
      <c r="N95" s="4"/>
      <c r="O95" s="7"/>
      <c r="Q95" s="9"/>
      <c r="R95" s="34"/>
      <c r="S95" s="4"/>
      <c r="T95" s="7"/>
    </row>
    <row r="96" spans="1:20" x14ac:dyDescent="0.25">
      <c r="A96">
        <v>94</v>
      </c>
      <c r="B96" s="9"/>
      <c r="C96" s="34"/>
      <c r="D96" s="4"/>
      <c r="E96" s="7"/>
      <c r="G96" s="9"/>
      <c r="H96" s="34"/>
      <c r="I96" s="4"/>
      <c r="J96" s="7"/>
      <c r="L96" s="9"/>
      <c r="M96" s="34"/>
      <c r="N96" s="4"/>
      <c r="O96" s="7"/>
      <c r="Q96" s="9"/>
      <c r="R96" s="34"/>
      <c r="S96" s="4"/>
      <c r="T96" s="7"/>
    </row>
    <row r="97" spans="1:20" x14ac:dyDescent="0.25">
      <c r="A97">
        <v>95</v>
      </c>
      <c r="B97" s="9"/>
      <c r="C97" s="34"/>
      <c r="D97" s="4"/>
      <c r="E97" s="7"/>
      <c r="G97" s="9"/>
      <c r="H97" s="34"/>
      <c r="I97" s="4"/>
      <c r="J97" s="7"/>
      <c r="L97" s="9"/>
      <c r="M97" s="34"/>
      <c r="N97" s="4"/>
      <c r="O97" s="7"/>
      <c r="Q97" s="9"/>
      <c r="R97" s="34"/>
      <c r="S97" s="4"/>
      <c r="T97" s="7"/>
    </row>
    <row r="98" spans="1:20" x14ac:dyDescent="0.25">
      <c r="A98">
        <v>96</v>
      </c>
      <c r="B98" s="9"/>
      <c r="C98" s="34"/>
      <c r="D98" s="4"/>
      <c r="E98" s="7"/>
      <c r="G98" s="9"/>
      <c r="H98" s="34"/>
      <c r="I98" s="4"/>
      <c r="J98" s="7"/>
      <c r="L98" s="9"/>
      <c r="M98" s="34"/>
      <c r="N98" s="4"/>
      <c r="O98" s="7"/>
      <c r="Q98" s="9"/>
      <c r="R98" s="34"/>
      <c r="S98" s="4"/>
      <c r="T98" s="7"/>
    </row>
    <row r="99" spans="1:20" x14ac:dyDescent="0.25">
      <c r="A99">
        <v>97</v>
      </c>
      <c r="B99" s="9"/>
      <c r="C99" s="34"/>
      <c r="D99" s="4"/>
      <c r="E99" s="7"/>
      <c r="G99" s="9"/>
      <c r="H99" s="34"/>
      <c r="I99" s="4"/>
      <c r="J99" s="7"/>
      <c r="L99" s="9"/>
      <c r="M99" s="34"/>
      <c r="N99" s="4"/>
      <c r="O99" s="7"/>
      <c r="Q99" s="9"/>
      <c r="R99" s="34"/>
      <c r="S99" s="4"/>
      <c r="T99" s="7"/>
    </row>
    <row r="100" spans="1:20" x14ac:dyDescent="0.25">
      <c r="A100">
        <v>98</v>
      </c>
      <c r="B100" s="9"/>
      <c r="C100" s="34"/>
      <c r="D100" s="4"/>
      <c r="E100" s="7"/>
      <c r="G100" s="9"/>
      <c r="H100" s="34"/>
      <c r="I100" s="4"/>
      <c r="J100" s="7"/>
      <c r="L100" s="9"/>
      <c r="M100" s="34"/>
      <c r="N100" s="4"/>
      <c r="O100" s="7"/>
      <c r="Q100" s="9"/>
      <c r="R100" s="34"/>
      <c r="S100" s="4"/>
      <c r="T100" s="7"/>
    </row>
    <row r="101" spans="1:20" x14ac:dyDescent="0.25">
      <c r="A101">
        <v>99</v>
      </c>
      <c r="B101" s="9"/>
      <c r="C101" s="34"/>
      <c r="D101" s="4"/>
      <c r="E101" s="7"/>
      <c r="G101" s="9"/>
      <c r="H101" s="34"/>
      <c r="I101" s="4"/>
      <c r="J101" s="7"/>
      <c r="L101" s="9"/>
      <c r="M101" s="34"/>
      <c r="N101" s="4"/>
      <c r="O101" s="7"/>
      <c r="Q101" s="9"/>
      <c r="R101" s="34"/>
      <c r="S101" s="4"/>
      <c r="T101" s="7"/>
    </row>
    <row r="102" spans="1:20" x14ac:dyDescent="0.25">
      <c r="A102">
        <v>100</v>
      </c>
      <c r="B102" s="9"/>
      <c r="C102" s="34"/>
      <c r="D102" s="4"/>
      <c r="E102" s="7"/>
      <c r="G102" s="9"/>
      <c r="H102" s="34"/>
      <c r="I102" s="4"/>
      <c r="J102" s="7"/>
      <c r="L102" s="9"/>
      <c r="M102" s="34"/>
      <c r="N102" s="4"/>
      <c r="O102" s="7"/>
      <c r="Q102" s="9"/>
      <c r="R102" s="34"/>
      <c r="S102" s="4"/>
      <c r="T102" s="7"/>
    </row>
    <row r="103" spans="1:20" x14ac:dyDescent="0.25">
      <c r="A103">
        <v>101</v>
      </c>
      <c r="B103" s="9"/>
      <c r="C103" s="34"/>
      <c r="D103" s="4"/>
      <c r="E103" s="7"/>
      <c r="G103" s="9"/>
      <c r="H103" s="34"/>
      <c r="I103" s="4"/>
      <c r="J103" s="7"/>
      <c r="L103" s="9"/>
      <c r="M103" s="34"/>
      <c r="N103" s="4"/>
      <c r="O103" s="7"/>
      <c r="Q103" s="9"/>
      <c r="R103" s="34"/>
      <c r="S103" s="4"/>
      <c r="T103" s="7"/>
    </row>
    <row r="104" spans="1:20" x14ac:dyDescent="0.25">
      <c r="A104">
        <v>102</v>
      </c>
      <c r="B104" s="9"/>
      <c r="C104" s="34"/>
      <c r="D104" s="4"/>
      <c r="E104" s="7"/>
      <c r="G104" s="9"/>
      <c r="H104" s="34"/>
      <c r="I104" s="4"/>
      <c r="J104" s="7"/>
      <c r="L104" s="9"/>
      <c r="M104" s="34"/>
      <c r="N104" s="4"/>
      <c r="O104" s="7"/>
      <c r="Q104" s="9"/>
      <c r="R104" s="34"/>
      <c r="S104" s="4"/>
      <c r="T104" s="7"/>
    </row>
    <row r="105" spans="1:20" x14ac:dyDescent="0.25">
      <c r="A105">
        <v>103</v>
      </c>
      <c r="B105" s="9"/>
      <c r="C105" s="34"/>
      <c r="D105" s="4"/>
      <c r="E105" s="7"/>
      <c r="G105" s="9"/>
      <c r="H105" s="34"/>
      <c r="I105" s="4"/>
      <c r="J105" s="7"/>
      <c r="L105" s="9"/>
      <c r="M105" s="34"/>
      <c r="N105" s="4"/>
      <c r="O105" s="7"/>
      <c r="Q105" s="9"/>
      <c r="R105" s="34"/>
      <c r="S105" s="4"/>
      <c r="T105" s="7"/>
    </row>
    <row r="106" spans="1:20" x14ac:dyDescent="0.25">
      <c r="A106">
        <v>104</v>
      </c>
      <c r="B106" s="9"/>
      <c r="C106" s="34"/>
      <c r="D106" s="4"/>
      <c r="E106" s="7"/>
      <c r="G106" s="9"/>
      <c r="H106" s="34"/>
      <c r="I106" s="4"/>
      <c r="J106" s="7"/>
      <c r="L106" s="9"/>
      <c r="M106" s="34"/>
      <c r="N106" s="4"/>
      <c r="O106" s="7"/>
      <c r="Q106" s="9"/>
      <c r="R106" s="34"/>
      <c r="S106" s="4"/>
      <c r="T106" s="7"/>
    </row>
    <row r="107" spans="1:20" x14ac:dyDescent="0.25">
      <c r="A107">
        <v>105</v>
      </c>
      <c r="B107" s="9"/>
      <c r="C107" s="34"/>
      <c r="D107" s="4"/>
      <c r="E107" s="7"/>
      <c r="G107" s="9"/>
      <c r="H107" s="34"/>
      <c r="I107" s="4"/>
      <c r="J107" s="7"/>
      <c r="L107" s="9"/>
      <c r="M107" s="34"/>
      <c r="N107" s="4"/>
      <c r="O107" s="7"/>
      <c r="Q107" s="9"/>
      <c r="R107" s="34"/>
      <c r="S107" s="4"/>
      <c r="T107" s="7"/>
    </row>
    <row r="108" spans="1:20" x14ac:dyDescent="0.25">
      <c r="A108">
        <v>106</v>
      </c>
      <c r="B108" s="9"/>
      <c r="C108" s="34"/>
      <c r="D108" s="4"/>
      <c r="E108" s="7"/>
      <c r="G108" s="9"/>
      <c r="H108" s="34"/>
      <c r="I108" s="4"/>
      <c r="J108" s="7"/>
      <c r="L108" s="9"/>
      <c r="M108" s="34"/>
      <c r="N108" s="4"/>
      <c r="O108" s="7"/>
      <c r="Q108" s="9"/>
      <c r="R108" s="34"/>
      <c r="S108" s="4"/>
      <c r="T108" s="7"/>
    </row>
    <row r="109" spans="1:20" x14ac:dyDescent="0.25">
      <c r="A109">
        <v>107</v>
      </c>
      <c r="B109" s="9"/>
      <c r="C109" s="34"/>
      <c r="D109" s="4"/>
      <c r="E109" s="7"/>
      <c r="G109" s="9"/>
      <c r="H109" s="34"/>
      <c r="I109" s="4"/>
      <c r="J109" s="7"/>
      <c r="L109" s="9"/>
      <c r="M109" s="34"/>
      <c r="N109" s="4"/>
      <c r="O109" s="7"/>
      <c r="Q109" s="9"/>
      <c r="R109" s="34"/>
      <c r="S109" s="4"/>
      <c r="T109" s="7"/>
    </row>
    <row r="110" spans="1:20" x14ac:dyDescent="0.25">
      <c r="A110">
        <v>108</v>
      </c>
      <c r="B110" s="9"/>
      <c r="C110" s="34"/>
      <c r="D110" s="4"/>
      <c r="E110" s="7"/>
      <c r="G110" s="9"/>
      <c r="H110" s="34"/>
      <c r="I110" s="4"/>
      <c r="J110" s="7"/>
      <c r="L110" s="9"/>
      <c r="M110" s="34"/>
      <c r="N110" s="4"/>
      <c r="O110" s="7"/>
      <c r="Q110" s="9"/>
      <c r="R110" s="34"/>
      <c r="S110" s="4"/>
      <c r="T110" s="7"/>
    </row>
    <row r="111" spans="1:20" x14ac:dyDescent="0.25">
      <c r="A111">
        <v>109</v>
      </c>
      <c r="B111" s="9"/>
      <c r="C111" s="34"/>
      <c r="D111" s="4"/>
      <c r="E111" s="7"/>
      <c r="G111" s="9"/>
      <c r="H111" s="34"/>
      <c r="I111" s="4"/>
      <c r="J111" s="7"/>
      <c r="L111" s="9"/>
      <c r="M111" s="34"/>
      <c r="N111" s="4"/>
      <c r="O111" s="7"/>
      <c r="Q111" s="9"/>
      <c r="R111" s="34"/>
      <c r="S111" s="4"/>
      <c r="T111" s="7"/>
    </row>
    <row r="112" spans="1:20" x14ac:dyDescent="0.25">
      <c r="A112">
        <v>110</v>
      </c>
      <c r="B112" s="9"/>
      <c r="C112" s="34"/>
      <c r="D112" s="4"/>
      <c r="E112" s="7"/>
      <c r="G112" s="9"/>
      <c r="H112" s="34"/>
      <c r="I112" s="4"/>
      <c r="J112" s="7"/>
      <c r="L112" s="9"/>
      <c r="M112" s="34"/>
      <c r="N112" s="4"/>
      <c r="O112" s="7"/>
      <c r="Q112" s="9"/>
      <c r="R112" s="34"/>
      <c r="S112" s="4"/>
      <c r="T112" s="7"/>
    </row>
    <row r="113" spans="1:20" x14ac:dyDescent="0.25">
      <c r="A113">
        <v>111</v>
      </c>
      <c r="B113" s="9"/>
      <c r="C113" s="34"/>
      <c r="D113" s="4"/>
      <c r="E113" s="7"/>
      <c r="G113" s="9"/>
      <c r="H113" s="34"/>
      <c r="I113" s="4"/>
      <c r="J113" s="7"/>
      <c r="L113" s="9"/>
      <c r="M113" s="34"/>
      <c r="N113" s="4"/>
      <c r="O113" s="7"/>
      <c r="Q113" s="9"/>
      <c r="R113" s="34"/>
      <c r="S113" s="4"/>
      <c r="T113" s="7"/>
    </row>
    <row r="114" spans="1:20" x14ac:dyDescent="0.25">
      <c r="A114">
        <v>112</v>
      </c>
      <c r="B114" s="9"/>
      <c r="C114" s="34"/>
      <c r="D114" s="4"/>
      <c r="E114" s="7"/>
      <c r="G114" s="9"/>
      <c r="H114" s="34"/>
      <c r="I114" s="4"/>
      <c r="J114" s="7"/>
      <c r="L114" s="9"/>
      <c r="M114" s="34"/>
      <c r="N114" s="4"/>
      <c r="O114" s="7"/>
      <c r="Q114" s="9"/>
      <c r="R114" s="34"/>
      <c r="S114" s="4"/>
      <c r="T114" s="7"/>
    </row>
    <row r="115" spans="1:20" x14ac:dyDescent="0.25">
      <c r="A115">
        <v>113</v>
      </c>
      <c r="B115" s="9"/>
      <c r="C115" s="34"/>
      <c r="D115" s="4"/>
      <c r="E115" s="7"/>
      <c r="G115" s="9"/>
      <c r="H115" s="34"/>
      <c r="I115" s="4"/>
      <c r="J115" s="7"/>
      <c r="L115" s="9"/>
      <c r="M115" s="34"/>
      <c r="N115" s="4"/>
      <c r="O115" s="7"/>
      <c r="Q115" s="9"/>
      <c r="R115" s="34"/>
      <c r="S115" s="4"/>
      <c r="T115" s="7"/>
    </row>
    <row r="116" spans="1:20" x14ac:dyDescent="0.25">
      <c r="A116">
        <v>114</v>
      </c>
      <c r="B116" s="9"/>
      <c r="C116" s="34"/>
      <c r="D116" s="4"/>
      <c r="E116" s="7"/>
      <c r="G116" s="9"/>
      <c r="H116" s="34"/>
      <c r="I116" s="4"/>
      <c r="J116" s="7"/>
      <c r="L116" s="9"/>
      <c r="M116" s="34"/>
      <c r="N116" s="4"/>
      <c r="O116" s="7"/>
      <c r="Q116" s="9"/>
      <c r="R116" s="34"/>
      <c r="S116" s="4"/>
      <c r="T116" s="7"/>
    </row>
    <row r="117" spans="1:20" x14ac:dyDescent="0.25">
      <c r="A117">
        <v>115</v>
      </c>
      <c r="B117" s="9"/>
      <c r="C117" s="34"/>
      <c r="D117" s="4"/>
      <c r="E117" s="7"/>
      <c r="G117" s="9"/>
      <c r="H117" s="34"/>
      <c r="I117" s="4"/>
      <c r="J117" s="7"/>
      <c r="L117" s="9"/>
      <c r="M117" s="34"/>
      <c r="N117" s="4"/>
      <c r="O117" s="7"/>
      <c r="Q117" s="9"/>
      <c r="R117" s="34"/>
      <c r="S117" s="4"/>
      <c r="T117" s="7"/>
    </row>
    <row r="118" spans="1:20" x14ac:dyDescent="0.25">
      <c r="A118">
        <v>116</v>
      </c>
      <c r="B118" s="9"/>
      <c r="C118" s="34"/>
      <c r="D118" s="4"/>
      <c r="E118" s="7"/>
      <c r="G118" s="9"/>
      <c r="H118" s="34"/>
      <c r="I118" s="4"/>
      <c r="J118" s="7"/>
      <c r="L118" s="9"/>
      <c r="M118" s="34"/>
      <c r="N118" s="4"/>
      <c r="O118" s="7"/>
      <c r="Q118" s="9"/>
      <c r="R118" s="34"/>
      <c r="S118" s="4"/>
      <c r="T118" s="7"/>
    </row>
    <row r="119" spans="1:20" x14ac:dyDescent="0.25">
      <c r="A119">
        <v>117</v>
      </c>
      <c r="B119" s="9"/>
      <c r="C119" s="34"/>
      <c r="D119" s="4"/>
      <c r="E119" s="7"/>
      <c r="G119" s="9"/>
      <c r="H119" s="34"/>
      <c r="I119" s="4"/>
      <c r="J119" s="7"/>
      <c r="L119" s="9"/>
      <c r="M119" s="34"/>
      <c r="N119" s="4"/>
      <c r="O119" s="7"/>
      <c r="Q119" s="9"/>
      <c r="R119" s="34"/>
      <c r="S119" s="4"/>
      <c r="T119" s="7"/>
    </row>
    <row r="120" spans="1:20" x14ac:dyDescent="0.25">
      <c r="A120">
        <v>118</v>
      </c>
      <c r="B120" s="9"/>
      <c r="C120" s="34"/>
      <c r="D120" s="4"/>
      <c r="E120" s="7"/>
      <c r="G120" s="9"/>
      <c r="H120" s="34"/>
      <c r="I120" s="4"/>
      <c r="J120" s="7"/>
      <c r="L120" s="9"/>
      <c r="M120" s="34"/>
      <c r="N120" s="4"/>
      <c r="O120" s="7"/>
      <c r="Q120" s="9"/>
      <c r="R120" s="34"/>
      <c r="S120" s="4"/>
      <c r="T120" s="7"/>
    </row>
    <row r="121" spans="1:20" x14ac:dyDescent="0.25">
      <c r="A121">
        <v>119</v>
      </c>
      <c r="B121" s="9"/>
      <c r="C121" s="34"/>
      <c r="D121" s="4"/>
      <c r="E121" s="7"/>
      <c r="G121" s="9"/>
      <c r="H121" s="34"/>
      <c r="I121" s="4"/>
      <c r="J121" s="7"/>
      <c r="L121" s="9"/>
      <c r="M121" s="34"/>
      <c r="N121" s="4"/>
      <c r="O121" s="7"/>
      <c r="Q121" s="9"/>
      <c r="R121" s="34"/>
      <c r="S121" s="4"/>
      <c r="T121" s="7"/>
    </row>
    <row r="122" spans="1:20" x14ac:dyDescent="0.25">
      <c r="A122">
        <v>120</v>
      </c>
      <c r="B122" s="9"/>
      <c r="C122" s="34"/>
      <c r="D122" s="4"/>
      <c r="E122" s="7"/>
      <c r="G122" s="9"/>
      <c r="H122" s="34"/>
      <c r="I122" s="4"/>
      <c r="J122" s="7"/>
      <c r="L122" s="9"/>
      <c r="M122" s="34"/>
      <c r="N122" s="4"/>
      <c r="O122" s="7"/>
      <c r="Q122" s="9"/>
      <c r="R122" s="34"/>
      <c r="S122" s="4"/>
      <c r="T122" s="7"/>
    </row>
    <row r="123" spans="1:20" x14ac:dyDescent="0.25">
      <c r="A123">
        <v>121</v>
      </c>
      <c r="B123" s="9"/>
      <c r="C123" s="34"/>
      <c r="D123" s="4"/>
      <c r="E123" s="7"/>
      <c r="G123" s="9"/>
      <c r="H123" s="34"/>
      <c r="I123" s="4"/>
      <c r="J123" s="7"/>
      <c r="L123" s="9"/>
      <c r="M123" s="34"/>
      <c r="N123" s="4"/>
      <c r="O123" s="7"/>
      <c r="Q123" s="9"/>
      <c r="R123" s="34"/>
      <c r="S123" s="4"/>
      <c r="T123" s="7"/>
    </row>
    <row r="124" spans="1:20" x14ac:dyDescent="0.25">
      <c r="A124">
        <v>122</v>
      </c>
      <c r="B124" s="9"/>
      <c r="C124" s="34"/>
      <c r="D124" s="4"/>
      <c r="E124" s="7"/>
      <c r="G124" s="9"/>
      <c r="H124" s="34"/>
      <c r="I124" s="4"/>
      <c r="J124" s="7"/>
      <c r="L124" s="9"/>
      <c r="M124" s="34"/>
      <c r="N124" s="4"/>
      <c r="O124" s="7"/>
      <c r="Q124" s="9"/>
      <c r="R124" s="34"/>
      <c r="S124" s="4"/>
      <c r="T124" s="7"/>
    </row>
    <row r="125" spans="1:20" x14ac:dyDescent="0.25">
      <c r="A125">
        <v>123</v>
      </c>
      <c r="B125" s="9"/>
      <c r="C125" s="34"/>
      <c r="D125" s="4"/>
      <c r="E125" s="7"/>
      <c r="G125" s="9"/>
      <c r="H125" s="34"/>
      <c r="I125" s="4"/>
      <c r="J125" s="7"/>
      <c r="L125" s="9"/>
      <c r="M125" s="34"/>
      <c r="N125" s="4"/>
      <c r="O125" s="7"/>
      <c r="Q125" s="9"/>
      <c r="R125" s="34"/>
      <c r="S125" s="4"/>
      <c r="T125" s="7"/>
    </row>
    <row r="126" spans="1:20" x14ac:dyDescent="0.25">
      <c r="A126">
        <v>124</v>
      </c>
      <c r="B126" s="9"/>
      <c r="C126" s="34"/>
      <c r="D126" s="4"/>
      <c r="E126" s="7"/>
      <c r="G126" s="9"/>
      <c r="H126" s="34"/>
      <c r="I126" s="4"/>
      <c r="J126" s="7"/>
      <c r="L126" s="9"/>
      <c r="M126" s="34"/>
      <c r="N126" s="4"/>
      <c r="O126" s="7"/>
      <c r="Q126" s="9"/>
      <c r="R126" s="34"/>
      <c r="S126" s="4"/>
      <c r="T126" s="7"/>
    </row>
    <row r="127" spans="1:20" x14ac:dyDescent="0.25">
      <c r="A127">
        <v>125</v>
      </c>
      <c r="B127" s="9"/>
      <c r="C127" s="34"/>
      <c r="D127" s="4"/>
      <c r="E127" s="7"/>
      <c r="G127" s="9"/>
      <c r="H127" s="34"/>
      <c r="I127" s="4"/>
      <c r="J127" s="7"/>
      <c r="L127" s="9"/>
      <c r="M127" s="34"/>
      <c r="N127" s="4"/>
      <c r="O127" s="7"/>
      <c r="Q127" s="9"/>
      <c r="R127" s="34"/>
      <c r="S127" s="4"/>
      <c r="T127" s="7"/>
    </row>
    <row r="128" spans="1:20" x14ac:dyDescent="0.25">
      <c r="A128">
        <v>126</v>
      </c>
      <c r="B128" s="9"/>
      <c r="C128" s="34"/>
      <c r="D128" s="4"/>
      <c r="E128" s="7"/>
      <c r="G128" s="9"/>
      <c r="H128" s="34"/>
      <c r="I128" s="4"/>
      <c r="J128" s="7"/>
      <c r="L128" s="9"/>
      <c r="M128" s="34"/>
      <c r="N128" s="4"/>
      <c r="O128" s="7"/>
      <c r="Q128" s="9"/>
      <c r="R128" s="34"/>
      <c r="S128" s="4"/>
      <c r="T128" s="7"/>
    </row>
    <row r="129" spans="1:20" x14ac:dyDescent="0.25">
      <c r="A129">
        <v>127</v>
      </c>
      <c r="B129" s="9"/>
      <c r="C129" s="34"/>
      <c r="D129" s="4"/>
      <c r="E129" s="7"/>
      <c r="G129" s="9"/>
      <c r="H129" s="34"/>
      <c r="I129" s="4"/>
      <c r="J129" s="7"/>
      <c r="L129" s="9"/>
      <c r="M129" s="34"/>
      <c r="N129" s="4"/>
      <c r="O129" s="7"/>
      <c r="Q129" s="9"/>
      <c r="R129" s="34"/>
      <c r="S129" s="4"/>
      <c r="T129" s="7"/>
    </row>
    <row r="130" spans="1:20" x14ac:dyDescent="0.25">
      <c r="A130">
        <v>128</v>
      </c>
      <c r="B130" s="9"/>
      <c r="C130" s="34"/>
      <c r="D130" s="4"/>
      <c r="E130" s="7"/>
      <c r="G130" s="9"/>
      <c r="H130" s="34"/>
      <c r="I130" s="4"/>
      <c r="J130" s="7"/>
      <c r="L130" s="9"/>
      <c r="M130" s="34"/>
      <c r="N130" s="4"/>
      <c r="O130" s="7"/>
      <c r="Q130" s="9"/>
      <c r="R130" s="34"/>
      <c r="S130" s="4"/>
      <c r="T130" s="7"/>
    </row>
    <row r="131" spans="1:20" x14ac:dyDescent="0.25">
      <c r="A131">
        <v>129</v>
      </c>
      <c r="B131" s="9"/>
      <c r="C131" s="34"/>
      <c r="D131" s="4"/>
      <c r="E131" s="7"/>
      <c r="G131" s="9"/>
      <c r="H131" s="34"/>
      <c r="I131" s="4"/>
      <c r="J131" s="7"/>
      <c r="L131" s="9"/>
      <c r="M131" s="34"/>
      <c r="N131" s="4"/>
      <c r="O131" s="7"/>
      <c r="Q131" s="9"/>
      <c r="R131" s="34"/>
      <c r="S131" s="4"/>
      <c r="T131" s="7"/>
    </row>
    <row r="132" spans="1:20" x14ac:dyDescent="0.25">
      <c r="A132">
        <v>130</v>
      </c>
      <c r="B132" s="9"/>
      <c r="C132" s="34"/>
      <c r="D132" s="4"/>
      <c r="E132" s="7"/>
      <c r="G132" s="9"/>
      <c r="H132" s="34"/>
      <c r="I132" s="4"/>
      <c r="J132" s="7"/>
      <c r="L132" s="9"/>
      <c r="M132" s="34"/>
      <c r="N132" s="4"/>
      <c r="O132" s="7"/>
      <c r="Q132" s="9"/>
      <c r="R132" s="34"/>
      <c r="S132" s="4"/>
      <c r="T132" s="7"/>
    </row>
    <row r="133" spans="1:20" x14ac:dyDescent="0.25">
      <c r="A133">
        <v>131</v>
      </c>
      <c r="B133" s="9"/>
      <c r="C133" s="34"/>
      <c r="D133" s="4"/>
      <c r="E133" s="7"/>
      <c r="G133" s="9"/>
      <c r="H133" s="34"/>
      <c r="I133" s="4"/>
      <c r="J133" s="7"/>
      <c r="L133" s="9"/>
      <c r="M133" s="34"/>
      <c r="N133" s="4"/>
      <c r="O133" s="7"/>
      <c r="Q133" s="9"/>
      <c r="R133" s="34"/>
      <c r="S133" s="4"/>
      <c r="T133" s="7"/>
    </row>
    <row r="134" spans="1:20" x14ac:dyDescent="0.25">
      <c r="A134">
        <v>132</v>
      </c>
      <c r="B134" s="9"/>
      <c r="C134" s="34"/>
      <c r="D134" s="4"/>
      <c r="E134" s="7"/>
      <c r="G134" s="9"/>
      <c r="H134" s="34"/>
      <c r="I134" s="4"/>
      <c r="J134" s="7"/>
      <c r="L134" s="9"/>
      <c r="M134" s="34"/>
      <c r="N134" s="4"/>
      <c r="O134" s="7"/>
      <c r="Q134" s="9"/>
      <c r="R134" s="34"/>
      <c r="S134" s="4"/>
      <c r="T134" s="7"/>
    </row>
    <row r="135" spans="1:20" x14ac:dyDescent="0.25">
      <c r="A135">
        <v>133</v>
      </c>
      <c r="B135" s="9"/>
      <c r="C135" s="34"/>
      <c r="D135" s="4"/>
      <c r="E135" s="7"/>
      <c r="G135" s="9"/>
      <c r="H135" s="34"/>
      <c r="I135" s="4"/>
      <c r="J135" s="7"/>
      <c r="L135" s="9"/>
      <c r="M135" s="34"/>
      <c r="N135" s="4"/>
      <c r="O135" s="7"/>
      <c r="Q135" s="9"/>
      <c r="R135" s="34"/>
      <c r="S135" s="4"/>
      <c r="T135" s="7"/>
    </row>
    <row r="136" spans="1:20" x14ac:dyDescent="0.25">
      <c r="A136">
        <v>134</v>
      </c>
      <c r="B136" s="9"/>
      <c r="C136" s="34"/>
      <c r="D136" s="4"/>
      <c r="E136" s="7"/>
      <c r="G136" s="9"/>
      <c r="H136" s="34"/>
      <c r="I136" s="4"/>
      <c r="J136" s="7"/>
      <c r="L136" s="9"/>
      <c r="M136" s="34"/>
      <c r="N136" s="4"/>
      <c r="O136" s="7"/>
      <c r="Q136" s="9"/>
      <c r="R136" s="34"/>
      <c r="S136" s="4"/>
      <c r="T136" s="7"/>
    </row>
    <row r="137" spans="1:20" x14ac:dyDescent="0.25">
      <c r="A137">
        <v>135</v>
      </c>
      <c r="B137" s="9"/>
      <c r="C137" s="34"/>
      <c r="D137" s="4"/>
      <c r="E137" s="7"/>
      <c r="G137" s="9"/>
      <c r="H137" s="34"/>
      <c r="I137" s="4"/>
      <c r="J137" s="7"/>
      <c r="L137" s="9"/>
      <c r="M137" s="34"/>
      <c r="N137" s="4"/>
      <c r="O137" s="7"/>
      <c r="Q137" s="9"/>
      <c r="R137" s="34"/>
      <c r="S137" s="4"/>
      <c r="T137" s="7"/>
    </row>
    <row r="138" spans="1:20" x14ac:dyDescent="0.25">
      <c r="A138">
        <v>136</v>
      </c>
      <c r="B138" s="9"/>
      <c r="C138" s="34"/>
      <c r="D138" s="4"/>
      <c r="E138" s="7"/>
      <c r="G138" s="9"/>
      <c r="H138" s="34"/>
      <c r="I138" s="4"/>
      <c r="J138" s="7"/>
      <c r="L138" s="9"/>
      <c r="M138" s="34"/>
      <c r="N138" s="4"/>
      <c r="O138" s="7"/>
      <c r="Q138" s="9"/>
      <c r="R138" s="34"/>
      <c r="S138" s="4"/>
      <c r="T138" s="7"/>
    </row>
    <row r="139" spans="1:20" x14ac:dyDescent="0.25">
      <c r="A139">
        <v>137</v>
      </c>
      <c r="B139" s="9"/>
      <c r="C139" s="34"/>
      <c r="D139" s="4"/>
      <c r="E139" s="7"/>
      <c r="G139" s="9"/>
      <c r="H139" s="34"/>
      <c r="I139" s="4"/>
      <c r="J139" s="7"/>
      <c r="L139" s="9"/>
      <c r="M139" s="34"/>
      <c r="N139" s="4"/>
      <c r="O139" s="7"/>
      <c r="Q139" s="9"/>
      <c r="R139" s="34"/>
      <c r="S139" s="4"/>
      <c r="T139" s="7"/>
    </row>
    <row r="140" spans="1:20" x14ac:dyDescent="0.25">
      <c r="A140">
        <v>138</v>
      </c>
      <c r="B140" s="9"/>
      <c r="C140" s="34"/>
      <c r="D140" s="4"/>
      <c r="E140" s="7"/>
      <c r="G140" s="9"/>
      <c r="H140" s="34"/>
      <c r="I140" s="4"/>
      <c r="J140" s="7"/>
      <c r="L140" s="9"/>
      <c r="M140" s="34"/>
      <c r="N140" s="4"/>
      <c r="O140" s="7"/>
      <c r="Q140" s="9"/>
      <c r="R140" s="34"/>
      <c r="S140" s="4"/>
      <c r="T140" s="7"/>
    </row>
    <row r="141" spans="1:20" x14ac:dyDescent="0.25">
      <c r="A141">
        <v>139</v>
      </c>
      <c r="B141" s="9"/>
      <c r="C141" s="34"/>
      <c r="D141" s="4"/>
      <c r="E141" s="7"/>
      <c r="G141" s="9"/>
      <c r="H141" s="34"/>
      <c r="I141" s="4"/>
      <c r="J141" s="7"/>
      <c r="L141" s="9"/>
      <c r="M141" s="34"/>
      <c r="N141" s="4"/>
      <c r="O141" s="7"/>
      <c r="Q141" s="9"/>
      <c r="R141" s="34"/>
      <c r="S141" s="4"/>
      <c r="T141" s="7"/>
    </row>
    <row r="142" spans="1:20" x14ac:dyDescent="0.25">
      <c r="A142">
        <v>140</v>
      </c>
      <c r="B142" s="9"/>
      <c r="C142" s="34"/>
      <c r="D142" s="4"/>
      <c r="E142" s="7"/>
      <c r="G142" s="9"/>
      <c r="H142" s="34"/>
      <c r="I142" s="4"/>
      <c r="J142" s="7"/>
      <c r="L142" s="9"/>
      <c r="M142" s="34"/>
      <c r="N142" s="4"/>
      <c r="O142" s="7"/>
      <c r="Q142" s="9"/>
      <c r="R142" s="34"/>
      <c r="S142" s="4"/>
      <c r="T142" s="7"/>
    </row>
    <row r="143" spans="1:20" x14ac:dyDescent="0.25">
      <c r="A143">
        <v>141</v>
      </c>
      <c r="B143" s="9"/>
      <c r="C143" s="34"/>
      <c r="D143" s="4"/>
      <c r="E143" s="7"/>
      <c r="G143" s="9"/>
      <c r="H143" s="34"/>
      <c r="I143" s="4"/>
      <c r="J143" s="7"/>
      <c r="L143" s="9"/>
      <c r="M143" s="34"/>
      <c r="N143" s="4"/>
      <c r="O143" s="7"/>
      <c r="Q143" s="9"/>
      <c r="R143" s="34"/>
      <c r="S143" s="4"/>
      <c r="T143" s="7"/>
    </row>
    <row r="144" spans="1:20" x14ac:dyDescent="0.25">
      <c r="A144">
        <v>142</v>
      </c>
      <c r="B144" s="9"/>
      <c r="C144" s="34"/>
      <c r="D144" s="4"/>
      <c r="E144" s="7"/>
      <c r="G144" s="9"/>
      <c r="H144" s="34"/>
      <c r="I144" s="4"/>
      <c r="J144" s="7"/>
      <c r="L144" s="9"/>
      <c r="M144" s="34"/>
      <c r="N144" s="4"/>
      <c r="O144" s="7"/>
      <c r="Q144" s="9"/>
      <c r="R144" s="34"/>
      <c r="S144" s="4"/>
      <c r="T144" s="7"/>
    </row>
    <row r="145" spans="1:20" x14ac:dyDescent="0.25">
      <c r="A145">
        <v>143</v>
      </c>
      <c r="B145" s="9"/>
      <c r="C145" s="34"/>
      <c r="D145" s="4"/>
      <c r="E145" s="7"/>
      <c r="G145" s="9"/>
      <c r="H145" s="34"/>
      <c r="I145" s="4"/>
      <c r="J145" s="7"/>
      <c r="L145" s="9"/>
      <c r="M145" s="34"/>
      <c r="N145" s="4"/>
      <c r="O145" s="7"/>
      <c r="Q145" s="9"/>
      <c r="R145" s="34"/>
      <c r="S145" s="4"/>
      <c r="T145" s="7"/>
    </row>
    <row r="146" spans="1:20" x14ac:dyDescent="0.25">
      <c r="A146">
        <v>144</v>
      </c>
      <c r="B146" s="9"/>
      <c r="C146" s="34"/>
      <c r="D146" s="4"/>
      <c r="E146" s="7"/>
      <c r="G146" s="9"/>
      <c r="H146" s="34"/>
      <c r="I146" s="4"/>
      <c r="J146" s="7"/>
      <c r="L146" s="9"/>
      <c r="M146" s="34"/>
      <c r="N146" s="4"/>
      <c r="O146" s="7"/>
      <c r="Q146" s="9"/>
      <c r="R146" s="34"/>
      <c r="S146" s="4"/>
      <c r="T146" s="7"/>
    </row>
    <row r="147" spans="1:20" x14ac:dyDescent="0.25">
      <c r="A147">
        <v>145</v>
      </c>
      <c r="B147" s="9"/>
      <c r="C147" s="34"/>
      <c r="D147" s="4"/>
      <c r="E147" s="7"/>
      <c r="G147" s="9"/>
      <c r="H147" s="34"/>
      <c r="I147" s="4"/>
      <c r="J147" s="7"/>
      <c r="L147" s="9"/>
      <c r="M147" s="34"/>
      <c r="N147" s="4"/>
      <c r="O147" s="7"/>
      <c r="Q147" s="9"/>
      <c r="R147" s="34"/>
      <c r="S147" s="4"/>
      <c r="T147" s="7"/>
    </row>
    <row r="148" spans="1:20" x14ac:dyDescent="0.25">
      <c r="A148">
        <v>146</v>
      </c>
      <c r="B148" s="9"/>
      <c r="C148" s="34"/>
      <c r="D148" s="4"/>
      <c r="E148" s="7"/>
      <c r="G148" s="9"/>
      <c r="H148" s="34"/>
      <c r="I148" s="4"/>
      <c r="J148" s="7"/>
      <c r="L148" s="9"/>
      <c r="M148" s="34"/>
      <c r="N148" s="4"/>
      <c r="O148" s="7"/>
      <c r="Q148" s="9"/>
      <c r="R148" s="34"/>
      <c r="S148" s="4"/>
      <c r="T148" s="7"/>
    </row>
    <row r="149" spans="1:20" x14ac:dyDescent="0.25">
      <c r="A149">
        <v>147</v>
      </c>
      <c r="B149" s="9"/>
      <c r="C149" s="34"/>
      <c r="D149" s="4"/>
      <c r="E149" s="7"/>
      <c r="G149" s="9"/>
      <c r="H149" s="34"/>
      <c r="I149" s="4"/>
      <c r="J149" s="7"/>
      <c r="L149" s="9"/>
      <c r="M149" s="34"/>
      <c r="N149" s="4"/>
      <c r="O149" s="7"/>
      <c r="Q149" s="9"/>
      <c r="R149" s="34"/>
      <c r="S149" s="4"/>
      <c r="T149" s="7"/>
    </row>
    <row r="150" spans="1:20" x14ac:dyDescent="0.25">
      <c r="A150">
        <v>148</v>
      </c>
      <c r="B150" s="9"/>
      <c r="C150" s="34"/>
      <c r="D150" s="4"/>
      <c r="E150" s="7"/>
      <c r="G150" s="9"/>
      <c r="H150" s="34"/>
      <c r="I150" s="4"/>
      <c r="J150" s="7"/>
      <c r="L150" s="9"/>
      <c r="M150" s="34"/>
      <c r="N150" s="4"/>
      <c r="O150" s="7"/>
      <c r="Q150" s="9"/>
      <c r="R150" s="34"/>
      <c r="S150" s="4"/>
      <c r="T150" s="7"/>
    </row>
    <row r="151" spans="1:20" x14ac:dyDescent="0.25">
      <c r="A151">
        <v>149</v>
      </c>
      <c r="B151" s="9"/>
      <c r="C151" s="34"/>
      <c r="D151" s="4"/>
      <c r="E151" s="7"/>
      <c r="G151" s="9"/>
      <c r="H151" s="34"/>
      <c r="I151" s="4"/>
      <c r="J151" s="7"/>
      <c r="L151" s="9"/>
      <c r="M151" s="34"/>
      <c r="N151" s="4"/>
      <c r="O151" s="7"/>
      <c r="Q151" s="9"/>
      <c r="R151" s="34"/>
      <c r="S151" s="4"/>
      <c r="T151" s="7"/>
    </row>
    <row r="152" spans="1:20" x14ac:dyDescent="0.25">
      <c r="A152">
        <v>150</v>
      </c>
      <c r="B152" s="9"/>
      <c r="C152" s="34"/>
      <c r="D152" s="4"/>
      <c r="E152" s="7"/>
      <c r="G152" s="9"/>
      <c r="H152" s="34"/>
      <c r="I152" s="4"/>
      <c r="J152" s="7"/>
      <c r="L152" s="9"/>
      <c r="M152" s="34"/>
      <c r="N152" s="4"/>
      <c r="O152" s="7"/>
      <c r="Q152" s="9"/>
      <c r="R152" s="34"/>
      <c r="S152" s="4"/>
      <c r="T152" s="7"/>
    </row>
    <row r="153" spans="1:20" x14ac:dyDescent="0.25">
      <c r="A153">
        <v>151</v>
      </c>
      <c r="B153" s="9"/>
      <c r="C153" s="34"/>
      <c r="D153" s="4"/>
      <c r="E153" s="7"/>
      <c r="G153" s="9"/>
      <c r="H153" s="34"/>
      <c r="I153" s="4"/>
      <c r="J153" s="7"/>
      <c r="L153" s="9"/>
      <c r="M153" s="34"/>
      <c r="N153" s="4"/>
      <c r="O153" s="7"/>
      <c r="Q153" s="9"/>
      <c r="R153" s="34"/>
      <c r="S153" s="4"/>
      <c r="T153" s="7"/>
    </row>
    <row r="154" spans="1:20" x14ac:dyDescent="0.25">
      <c r="A154">
        <v>152</v>
      </c>
      <c r="B154" s="9"/>
      <c r="C154" s="34"/>
      <c r="D154" s="4"/>
      <c r="E154" s="7"/>
      <c r="G154" s="9"/>
      <c r="H154" s="34"/>
      <c r="I154" s="4"/>
      <c r="J154" s="7"/>
      <c r="L154" s="9"/>
      <c r="M154" s="34"/>
      <c r="N154" s="4"/>
      <c r="O154" s="7"/>
      <c r="Q154" s="9"/>
      <c r="R154" s="34"/>
      <c r="S154" s="4"/>
      <c r="T154" s="7"/>
    </row>
    <row r="155" spans="1:20" x14ac:dyDescent="0.25">
      <c r="A155">
        <v>153</v>
      </c>
      <c r="B155" s="9"/>
      <c r="C155" s="34"/>
      <c r="D155" s="4"/>
      <c r="E155" s="7"/>
      <c r="G155" s="9"/>
      <c r="H155" s="34"/>
      <c r="I155" s="4"/>
      <c r="J155" s="7"/>
      <c r="L155" s="9"/>
      <c r="M155" s="34"/>
      <c r="N155" s="4"/>
      <c r="O155" s="7"/>
      <c r="Q155" s="9"/>
      <c r="R155" s="34"/>
      <c r="S155" s="4"/>
      <c r="T155" s="7"/>
    </row>
    <row r="156" spans="1:20" x14ac:dyDescent="0.25">
      <c r="A156">
        <v>154</v>
      </c>
      <c r="B156" s="9"/>
      <c r="C156" s="34"/>
      <c r="D156" s="4"/>
      <c r="E156" s="7"/>
      <c r="G156" s="9"/>
      <c r="H156" s="34"/>
      <c r="I156" s="4"/>
      <c r="J156" s="7"/>
      <c r="L156" s="9"/>
      <c r="M156" s="34"/>
      <c r="N156" s="4"/>
      <c r="O156" s="7"/>
      <c r="Q156" s="9"/>
      <c r="R156" s="34"/>
      <c r="S156" s="4"/>
      <c r="T156" s="7"/>
    </row>
    <row r="157" spans="1:20" x14ac:dyDescent="0.25">
      <c r="A157">
        <v>155</v>
      </c>
      <c r="B157" s="9"/>
      <c r="C157" s="34"/>
      <c r="D157" s="4"/>
      <c r="E157" s="7"/>
      <c r="G157" s="9"/>
      <c r="H157" s="34"/>
      <c r="I157" s="4"/>
      <c r="J157" s="7"/>
      <c r="L157" s="9"/>
      <c r="M157" s="34"/>
      <c r="N157" s="4"/>
      <c r="O157" s="7"/>
      <c r="Q157" s="9"/>
      <c r="R157" s="34"/>
      <c r="S157" s="4"/>
      <c r="T157" s="7"/>
    </row>
    <row r="158" spans="1:20" x14ac:dyDescent="0.25">
      <c r="A158">
        <v>156</v>
      </c>
      <c r="B158" s="9"/>
      <c r="C158" s="34"/>
      <c r="D158" s="4"/>
      <c r="E158" s="7"/>
      <c r="G158" s="9"/>
      <c r="H158" s="34"/>
      <c r="I158" s="4"/>
      <c r="J158" s="7"/>
      <c r="L158" s="9"/>
      <c r="M158" s="34"/>
      <c r="N158" s="4"/>
      <c r="O158" s="7"/>
      <c r="Q158" s="9"/>
      <c r="R158" s="34"/>
      <c r="S158" s="4"/>
      <c r="T158" s="7"/>
    </row>
    <row r="159" spans="1:20" x14ac:dyDescent="0.25">
      <c r="A159">
        <v>157</v>
      </c>
      <c r="B159" s="9"/>
      <c r="C159" s="34"/>
      <c r="D159" s="4"/>
      <c r="E159" s="7"/>
      <c r="G159" s="9"/>
      <c r="H159" s="34"/>
      <c r="I159" s="4"/>
      <c r="J159" s="7"/>
      <c r="L159" s="9"/>
      <c r="M159" s="34"/>
      <c r="N159" s="4"/>
      <c r="O159" s="7"/>
      <c r="Q159" s="9"/>
      <c r="R159" s="34"/>
      <c r="S159" s="4"/>
      <c r="T159" s="7"/>
    </row>
    <row r="160" spans="1:20" x14ac:dyDescent="0.25">
      <c r="A160">
        <v>158</v>
      </c>
      <c r="B160" s="9"/>
      <c r="C160" s="34"/>
      <c r="D160" s="4"/>
      <c r="E160" s="7"/>
      <c r="G160" s="9"/>
      <c r="H160" s="34"/>
      <c r="I160" s="4"/>
      <c r="J160" s="7"/>
      <c r="L160" s="9"/>
      <c r="M160" s="34"/>
      <c r="N160" s="4"/>
      <c r="O160" s="7"/>
      <c r="Q160" s="9"/>
      <c r="R160" s="34"/>
      <c r="S160" s="4"/>
      <c r="T160" s="7"/>
    </row>
    <row r="161" spans="1:20" x14ac:dyDescent="0.25">
      <c r="A161">
        <v>159</v>
      </c>
      <c r="B161" s="9"/>
      <c r="C161" s="34"/>
      <c r="D161" s="4"/>
      <c r="E161" s="7"/>
      <c r="G161" s="9"/>
      <c r="H161" s="34"/>
      <c r="I161" s="4"/>
      <c r="J161" s="7"/>
      <c r="L161" s="9"/>
      <c r="M161" s="34"/>
      <c r="N161" s="4"/>
      <c r="O161" s="7"/>
      <c r="Q161" s="9"/>
      <c r="R161" s="34"/>
      <c r="S161" s="4"/>
      <c r="T161" s="7"/>
    </row>
    <row r="162" spans="1:20" x14ac:dyDescent="0.25">
      <c r="A162">
        <v>160</v>
      </c>
      <c r="B162" s="9"/>
      <c r="C162" s="34"/>
      <c r="D162" s="4"/>
      <c r="E162" s="7"/>
      <c r="G162" s="9"/>
      <c r="H162" s="34"/>
      <c r="I162" s="4"/>
      <c r="J162" s="7"/>
      <c r="L162" s="9"/>
      <c r="M162" s="34"/>
      <c r="N162" s="4"/>
      <c r="O162" s="7"/>
      <c r="Q162" s="9"/>
      <c r="R162" s="34"/>
      <c r="S162" s="4"/>
      <c r="T162" s="7"/>
    </row>
    <row r="163" spans="1:20" x14ac:dyDescent="0.25">
      <c r="A163">
        <v>161</v>
      </c>
      <c r="B163" s="9"/>
      <c r="C163" s="34"/>
      <c r="D163" s="4"/>
      <c r="E163" s="7"/>
      <c r="G163" s="9"/>
      <c r="H163" s="34"/>
      <c r="I163" s="4"/>
      <c r="J163" s="7"/>
      <c r="L163" s="9"/>
      <c r="M163" s="34"/>
      <c r="N163" s="4"/>
      <c r="O163" s="7"/>
      <c r="Q163" s="9"/>
      <c r="R163" s="34"/>
      <c r="S163" s="4"/>
      <c r="T163" s="7"/>
    </row>
    <row r="164" spans="1:20" x14ac:dyDescent="0.25">
      <c r="A164">
        <v>162</v>
      </c>
      <c r="B164" s="9"/>
      <c r="C164" s="34"/>
      <c r="D164" s="4"/>
      <c r="E164" s="7"/>
      <c r="G164" s="9"/>
      <c r="H164" s="34"/>
      <c r="I164" s="4"/>
      <c r="J164" s="7"/>
      <c r="L164" s="9"/>
      <c r="M164" s="34"/>
      <c r="N164" s="4"/>
      <c r="O164" s="7"/>
      <c r="Q164" s="9"/>
      <c r="R164" s="34"/>
      <c r="S164" s="4"/>
      <c r="T164" s="7"/>
    </row>
    <row r="165" spans="1:20" x14ac:dyDescent="0.25">
      <c r="A165">
        <v>163</v>
      </c>
      <c r="B165" s="9"/>
      <c r="C165" s="34"/>
      <c r="D165" s="4"/>
      <c r="E165" s="7"/>
      <c r="G165" s="9"/>
      <c r="H165" s="34"/>
      <c r="I165" s="4"/>
      <c r="J165" s="7"/>
      <c r="L165" s="9"/>
      <c r="M165" s="34"/>
      <c r="N165" s="4"/>
      <c r="O165" s="7"/>
      <c r="Q165" s="9"/>
      <c r="R165" s="34"/>
      <c r="S165" s="4"/>
      <c r="T165" s="7"/>
    </row>
    <row r="166" spans="1:20" x14ac:dyDescent="0.25">
      <c r="A166">
        <v>164</v>
      </c>
      <c r="B166" s="9"/>
      <c r="C166" s="34"/>
      <c r="D166" s="4"/>
      <c r="E166" s="7"/>
      <c r="G166" s="9"/>
      <c r="H166" s="34"/>
      <c r="I166" s="4"/>
      <c r="J166" s="7"/>
      <c r="L166" s="9"/>
      <c r="M166" s="34"/>
      <c r="N166" s="4"/>
      <c r="O166" s="7"/>
      <c r="Q166" s="9"/>
      <c r="R166" s="34"/>
      <c r="S166" s="4"/>
      <c r="T166" s="7"/>
    </row>
    <row r="167" spans="1:20" x14ac:dyDescent="0.25">
      <c r="A167">
        <v>165</v>
      </c>
      <c r="B167" s="9"/>
      <c r="C167" s="34"/>
      <c r="D167" s="4"/>
      <c r="E167" s="7"/>
      <c r="G167" s="9"/>
      <c r="H167" s="34"/>
      <c r="I167" s="4"/>
      <c r="J167" s="7"/>
      <c r="L167" s="9"/>
      <c r="M167" s="34"/>
      <c r="N167" s="4"/>
      <c r="O167" s="7"/>
      <c r="Q167" s="9"/>
      <c r="R167" s="34"/>
      <c r="S167" s="4"/>
      <c r="T167" s="7"/>
    </row>
    <row r="168" spans="1:20" x14ac:dyDescent="0.25">
      <c r="A168">
        <v>166</v>
      </c>
      <c r="B168" s="9"/>
      <c r="C168" s="34"/>
      <c r="D168" s="4"/>
      <c r="E168" s="7"/>
      <c r="G168" s="9"/>
      <c r="H168" s="34"/>
      <c r="I168" s="4"/>
      <c r="J168" s="7"/>
      <c r="L168" s="9"/>
      <c r="M168" s="34"/>
      <c r="N168" s="4"/>
      <c r="O168" s="7"/>
      <c r="Q168" s="9"/>
      <c r="R168" s="34"/>
      <c r="S168" s="4"/>
      <c r="T168" s="7"/>
    </row>
    <row r="169" spans="1:20" x14ac:dyDescent="0.25">
      <c r="A169">
        <v>167</v>
      </c>
      <c r="B169" s="9"/>
      <c r="C169" s="34"/>
      <c r="D169" s="4"/>
      <c r="E169" s="7"/>
      <c r="G169" s="9"/>
      <c r="H169" s="34"/>
      <c r="I169" s="4"/>
      <c r="J169" s="7"/>
      <c r="L169" s="9"/>
      <c r="M169" s="34"/>
      <c r="N169" s="4"/>
      <c r="O169" s="7"/>
      <c r="Q169" s="9"/>
      <c r="R169" s="34"/>
      <c r="S169" s="4"/>
      <c r="T169" s="7"/>
    </row>
    <row r="170" spans="1:20" x14ac:dyDescent="0.25">
      <c r="A170">
        <v>168</v>
      </c>
      <c r="B170" s="9"/>
      <c r="C170" s="34"/>
      <c r="D170" s="4"/>
      <c r="E170" s="7"/>
      <c r="G170" s="9"/>
      <c r="H170" s="34"/>
      <c r="I170" s="4"/>
      <c r="J170" s="7"/>
      <c r="L170" s="9"/>
      <c r="M170" s="34"/>
      <c r="N170" s="4"/>
      <c r="O170" s="7"/>
      <c r="Q170" s="9"/>
      <c r="R170" s="34"/>
      <c r="S170" s="4"/>
      <c r="T170" s="7"/>
    </row>
    <row r="171" spans="1:20" x14ac:dyDescent="0.25">
      <c r="A171">
        <v>169</v>
      </c>
      <c r="B171" s="9"/>
      <c r="C171" s="34"/>
      <c r="D171" s="4"/>
      <c r="E171" s="7"/>
      <c r="G171" s="9"/>
      <c r="H171" s="34"/>
      <c r="I171" s="4"/>
      <c r="J171" s="7"/>
      <c r="L171" s="9"/>
      <c r="M171" s="34"/>
      <c r="N171" s="4"/>
      <c r="O171" s="7"/>
      <c r="Q171" s="9"/>
      <c r="R171" s="34"/>
      <c r="S171" s="4"/>
      <c r="T171" s="7"/>
    </row>
    <row r="172" spans="1:20" x14ac:dyDescent="0.25">
      <c r="A172">
        <v>170</v>
      </c>
      <c r="B172" s="9"/>
      <c r="C172" s="34"/>
      <c r="D172" s="4"/>
      <c r="E172" s="7"/>
      <c r="G172" s="9"/>
      <c r="H172" s="34"/>
      <c r="I172" s="4"/>
      <c r="J172" s="7"/>
      <c r="L172" s="9"/>
      <c r="M172" s="34"/>
      <c r="N172" s="4"/>
      <c r="O172" s="7"/>
      <c r="Q172" s="9"/>
      <c r="R172" s="34"/>
      <c r="S172" s="4"/>
      <c r="T172" s="7"/>
    </row>
    <row r="173" spans="1:20" x14ac:dyDescent="0.25">
      <c r="A173">
        <v>171</v>
      </c>
      <c r="B173" s="9"/>
      <c r="C173" s="34"/>
      <c r="D173" s="4"/>
      <c r="E173" s="7"/>
      <c r="G173" s="9"/>
      <c r="H173" s="34"/>
      <c r="I173" s="4"/>
      <c r="J173" s="7"/>
      <c r="L173" s="9"/>
      <c r="M173" s="34"/>
      <c r="N173" s="4"/>
      <c r="O173" s="7"/>
      <c r="Q173" s="9"/>
      <c r="R173" s="34"/>
      <c r="S173" s="4"/>
      <c r="T173" s="7"/>
    </row>
    <row r="174" spans="1:20" x14ac:dyDescent="0.25">
      <c r="A174">
        <v>172</v>
      </c>
      <c r="B174" s="9"/>
      <c r="C174" s="34"/>
      <c r="D174" s="4"/>
      <c r="E174" s="7"/>
      <c r="G174" s="9"/>
      <c r="H174" s="34"/>
      <c r="I174" s="4"/>
      <c r="J174" s="7"/>
      <c r="L174" s="9"/>
      <c r="M174" s="34"/>
      <c r="N174" s="4"/>
      <c r="O174" s="7"/>
      <c r="Q174" s="9"/>
      <c r="R174" s="34"/>
      <c r="S174" s="4"/>
      <c r="T174" s="7"/>
    </row>
    <row r="175" spans="1:20" x14ac:dyDescent="0.25">
      <c r="A175">
        <v>173</v>
      </c>
      <c r="B175" s="9"/>
      <c r="C175" s="34"/>
      <c r="D175" s="4"/>
      <c r="E175" s="7"/>
      <c r="G175" s="9"/>
      <c r="H175" s="34"/>
      <c r="I175" s="4"/>
      <c r="J175" s="7"/>
      <c r="L175" s="9"/>
      <c r="M175" s="34"/>
      <c r="N175" s="4"/>
      <c r="O175" s="7"/>
      <c r="Q175" s="9"/>
      <c r="R175" s="34"/>
      <c r="S175" s="4"/>
      <c r="T175" s="7"/>
    </row>
    <row r="176" spans="1:20" x14ac:dyDescent="0.25">
      <c r="A176">
        <v>174</v>
      </c>
      <c r="B176" s="9"/>
      <c r="C176" s="34"/>
      <c r="D176" s="4"/>
      <c r="E176" s="7"/>
      <c r="G176" s="9"/>
      <c r="H176" s="34"/>
      <c r="I176" s="4"/>
      <c r="J176" s="7"/>
      <c r="L176" s="9"/>
      <c r="M176" s="34"/>
      <c r="N176" s="4"/>
      <c r="O176" s="7"/>
      <c r="Q176" s="9"/>
      <c r="R176" s="34"/>
      <c r="S176" s="4"/>
      <c r="T176" s="7"/>
    </row>
    <row r="177" spans="1:20" x14ac:dyDescent="0.25">
      <c r="A177">
        <v>175</v>
      </c>
      <c r="B177" s="9"/>
      <c r="C177" s="34"/>
      <c r="D177" s="4"/>
      <c r="E177" s="7"/>
      <c r="G177" s="9"/>
      <c r="H177" s="34"/>
      <c r="I177" s="4"/>
      <c r="J177" s="7"/>
      <c r="L177" s="9"/>
      <c r="M177" s="34"/>
      <c r="N177" s="4"/>
      <c r="O177" s="7"/>
      <c r="Q177" s="9"/>
      <c r="R177" s="34"/>
      <c r="S177" s="4"/>
      <c r="T177" s="7"/>
    </row>
    <row r="178" spans="1:20" x14ac:dyDescent="0.25">
      <c r="A178">
        <v>176</v>
      </c>
      <c r="B178" s="9"/>
      <c r="C178" s="34"/>
      <c r="D178" s="4"/>
      <c r="E178" s="7"/>
      <c r="G178" s="9"/>
      <c r="H178" s="34"/>
      <c r="I178" s="4"/>
      <c r="J178" s="7"/>
      <c r="L178" s="9"/>
      <c r="M178" s="34"/>
      <c r="N178" s="4"/>
      <c r="O178" s="7"/>
      <c r="Q178" s="9"/>
      <c r="R178" s="34"/>
      <c r="S178" s="4"/>
      <c r="T178" s="7"/>
    </row>
    <row r="179" spans="1:20" x14ac:dyDescent="0.25">
      <c r="A179">
        <v>177</v>
      </c>
      <c r="B179" s="9"/>
      <c r="C179" s="34"/>
      <c r="D179" s="4"/>
      <c r="E179" s="7"/>
      <c r="G179" s="9"/>
      <c r="H179" s="34"/>
      <c r="I179" s="4"/>
      <c r="J179" s="7"/>
      <c r="L179" s="9"/>
      <c r="M179" s="34"/>
      <c r="N179" s="4"/>
      <c r="O179" s="7"/>
      <c r="Q179" s="9"/>
      <c r="R179" s="34"/>
      <c r="S179" s="4"/>
      <c r="T179" s="7"/>
    </row>
    <row r="180" spans="1:20" x14ac:dyDescent="0.25">
      <c r="A180">
        <v>178</v>
      </c>
      <c r="B180" s="9"/>
      <c r="C180" s="34"/>
      <c r="D180" s="4"/>
      <c r="E180" s="7"/>
      <c r="G180" s="9"/>
      <c r="H180" s="34"/>
      <c r="I180" s="4"/>
      <c r="J180" s="7"/>
      <c r="L180" s="9"/>
      <c r="M180" s="34"/>
      <c r="N180" s="4"/>
      <c r="O180" s="7"/>
      <c r="Q180" s="9"/>
      <c r="R180" s="34"/>
      <c r="S180" s="4"/>
      <c r="T180" s="7"/>
    </row>
    <row r="181" spans="1:20" x14ac:dyDescent="0.25">
      <c r="A181">
        <v>179</v>
      </c>
      <c r="B181" s="9"/>
      <c r="C181" s="34"/>
      <c r="D181" s="4"/>
      <c r="E181" s="7"/>
      <c r="G181" s="9"/>
      <c r="H181" s="34"/>
      <c r="I181" s="4"/>
      <c r="J181" s="7"/>
      <c r="L181" s="9"/>
      <c r="M181" s="34"/>
      <c r="N181" s="4"/>
      <c r="O181" s="7"/>
      <c r="Q181" s="9"/>
      <c r="R181" s="34"/>
      <c r="S181" s="4"/>
      <c r="T181" s="7"/>
    </row>
    <row r="182" spans="1:20" x14ac:dyDescent="0.25">
      <c r="A182">
        <v>180</v>
      </c>
      <c r="B182" s="9"/>
      <c r="C182" s="34"/>
      <c r="D182" s="4"/>
      <c r="E182" s="7"/>
      <c r="G182" s="9"/>
      <c r="H182" s="34"/>
      <c r="I182" s="4"/>
      <c r="J182" s="7"/>
      <c r="L182" s="9"/>
      <c r="M182" s="34"/>
      <c r="N182" s="4"/>
      <c r="O182" s="7"/>
      <c r="Q182" s="9"/>
      <c r="R182" s="34"/>
      <c r="S182" s="4"/>
      <c r="T182" s="7"/>
    </row>
    <row r="183" spans="1:20" x14ac:dyDescent="0.25">
      <c r="A183">
        <v>181</v>
      </c>
      <c r="B183" s="9"/>
      <c r="C183" s="34"/>
      <c r="D183" s="4"/>
      <c r="E183" s="7"/>
      <c r="G183" s="9"/>
      <c r="H183" s="34"/>
      <c r="I183" s="4"/>
      <c r="J183" s="7"/>
      <c r="L183" s="9"/>
      <c r="M183" s="34"/>
      <c r="N183" s="4"/>
      <c r="O183" s="7"/>
      <c r="Q183" s="9"/>
      <c r="R183" s="34"/>
      <c r="S183" s="4"/>
      <c r="T183" s="7"/>
    </row>
    <row r="184" spans="1:20" x14ac:dyDescent="0.25">
      <c r="A184">
        <v>182</v>
      </c>
      <c r="B184" s="9"/>
      <c r="C184" s="34"/>
      <c r="D184" s="4"/>
      <c r="E184" s="7"/>
      <c r="G184" s="9"/>
      <c r="H184" s="34"/>
      <c r="I184" s="4"/>
      <c r="J184" s="7"/>
      <c r="L184" s="9"/>
      <c r="M184" s="34"/>
      <c r="N184" s="4"/>
      <c r="O184" s="7"/>
      <c r="Q184" s="9"/>
      <c r="R184" s="34"/>
      <c r="S184" s="4"/>
      <c r="T184" s="7"/>
    </row>
    <row r="185" spans="1:20" x14ac:dyDescent="0.25">
      <c r="A185">
        <v>183</v>
      </c>
      <c r="B185" s="9"/>
      <c r="C185" s="34"/>
      <c r="D185" s="4"/>
      <c r="E185" s="7"/>
      <c r="G185" s="9"/>
      <c r="H185" s="34"/>
      <c r="I185" s="4"/>
      <c r="J185" s="7"/>
      <c r="L185" s="9"/>
      <c r="M185" s="34"/>
      <c r="N185" s="4"/>
      <c r="O185" s="7"/>
      <c r="Q185" s="9"/>
      <c r="R185" s="34"/>
      <c r="S185" s="4"/>
      <c r="T185" s="7"/>
    </row>
    <row r="186" spans="1:20" x14ac:dyDescent="0.25">
      <c r="A186">
        <v>184</v>
      </c>
      <c r="B186" s="9"/>
      <c r="C186" s="34"/>
      <c r="D186" s="4"/>
      <c r="E186" s="7"/>
      <c r="G186" s="9"/>
      <c r="H186" s="34"/>
      <c r="I186" s="4"/>
      <c r="J186" s="7"/>
      <c r="L186" s="9"/>
      <c r="M186" s="34"/>
      <c r="N186" s="4"/>
      <c r="O186" s="7"/>
      <c r="Q186" s="9"/>
      <c r="R186" s="34"/>
      <c r="S186" s="4"/>
      <c r="T186" s="7"/>
    </row>
    <row r="187" spans="1:20" x14ac:dyDescent="0.25">
      <c r="A187">
        <v>185</v>
      </c>
      <c r="B187" s="9"/>
      <c r="C187" s="34"/>
      <c r="D187" s="4"/>
      <c r="E187" s="7"/>
      <c r="G187" s="9"/>
      <c r="H187" s="34"/>
      <c r="I187" s="4"/>
      <c r="J187" s="7"/>
      <c r="L187" s="9"/>
      <c r="M187" s="34"/>
      <c r="N187" s="4"/>
      <c r="O187" s="7"/>
      <c r="Q187" s="9"/>
      <c r="R187" s="34"/>
      <c r="S187" s="4"/>
      <c r="T187" s="7"/>
    </row>
    <row r="188" spans="1:20" x14ac:dyDescent="0.25">
      <c r="A188">
        <v>186</v>
      </c>
      <c r="B188" s="9"/>
      <c r="C188" s="34"/>
      <c r="D188" s="4"/>
      <c r="E188" s="7"/>
      <c r="G188" s="9"/>
      <c r="H188" s="34"/>
      <c r="I188" s="4"/>
      <c r="J188" s="7"/>
      <c r="L188" s="9"/>
      <c r="M188" s="34"/>
      <c r="N188" s="4"/>
      <c r="O188" s="7"/>
      <c r="Q188" s="9"/>
      <c r="R188" s="34"/>
      <c r="S188" s="4"/>
      <c r="T188" s="7"/>
    </row>
    <row r="189" spans="1:20" x14ac:dyDescent="0.25">
      <c r="A189">
        <v>187</v>
      </c>
      <c r="B189" s="9"/>
      <c r="C189" s="34"/>
      <c r="D189" s="4"/>
      <c r="E189" s="7"/>
      <c r="G189" s="9"/>
      <c r="H189" s="34"/>
      <c r="I189" s="4"/>
      <c r="J189" s="7"/>
      <c r="L189" s="9"/>
      <c r="M189" s="34"/>
      <c r="N189" s="4"/>
      <c r="O189" s="7"/>
      <c r="Q189" s="9"/>
      <c r="R189" s="34"/>
      <c r="S189" s="4"/>
      <c r="T189" s="7"/>
    </row>
    <row r="190" spans="1:20" x14ac:dyDescent="0.25">
      <c r="A190">
        <v>188</v>
      </c>
      <c r="B190" s="9"/>
      <c r="C190" s="34"/>
      <c r="D190" s="4"/>
      <c r="E190" s="7"/>
      <c r="G190" s="9"/>
      <c r="H190" s="34"/>
      <c r="I190" s="4"/>
      <c r="J190" s="7"/>
      <c r="L190" s="9"/>
      <c r="M190" s="34"/>
      <c r="N190" s="4"/>
      <c r="O190" s="7"/>
      <c r="Q190" s="9"/>
      <c r="R190" s="34"/>
      <c r="S190" s="4"/>
      <c r="T190" s="7"/>
    </row>
    <row r="191" spans="1:20" x14ac:dyDescent="0.25">
      <c r="A191">
        <v>189</v>
      </c>
      <c r="B191" s="9"/>
      <c r="C191" s="34"/>
      <c r="D191" s="4"/>
      <c r="E191" s="7"/>
      <c r="G191" s="9"/>
      <c r="H191" s="34"/>
      <c r="I191" s="4"/>
      <c r="J191" s="7"/>
      <c r="L191" s="9"/>
      <c r="M191" s="34"/>
      <c r="N191" s="4"/>
      <c r="O191" s="7"/>
      <c r="Q191" s="9"/>
      <c r="R191" s="34"/>
      <c r="S191" s="4"/>
      <c r="T191" s="7"/>
    </row>
    <row r="192" spans="1:20" x14ac:dyDescent="0.25">
      <c r="A192">
        <v>190</v>
      </c>
      <c r="B192" s="9"/>
      <c r="C192" s="34"/>
      <c r="D192" s="4"/>
      <c r="E192" s="7"/>
      <c r="G192" s="9"/>
      <c r="H192" s="34"/>
      <c r="I192" s="4"/>
      <c r="J192" s="7"/>
      <c r="L192" s="9"/>
      <c r="M192" s="34"/>
      <c r="N192" s="4"/>
      <c r="O192" s="7"/>
      <c r="Q192" s="9"/>
      <c r="R192" s="34"/>
      <c r="S192" s="4"/>
      <c r="T192" s="7"/>
    </row>
    <row r="193" spans="1:20" x14ac:dyDescent="0.25">
      <c r="A193">
        <v>191</v>
      </c>
      <c r="B193" s="9"/>
      <c r="C193" s="34"/>
      <c r="D193" s="4"/>
      <c r="E193" s="7"/>
      <c r="G193" s="9"/>
      <c r="H193" s="34"/>
      <c r="I193" s="4"/>
      <c r="J193" s="7"/>
      <c r="L193" s="9"/>
      <c r="M193" s="34"/>
      <c r="N193" s="4"/>
      <c r="O193" s="7"/>
      <c r="Q193" s="9"/>
      <c r="R193" s="34"/>
      <c r="S193" s="4"/>
      <c r="T193" s="7"/>
    </row>
    <row r="194" spans="1:20" x14ac:dyDescent="0.25">
      <c r="A194">
        <v>192</v>
      </c>
      <c r="B194" s="9"/>
      <c r="C194" s="34"/>
      <c r="D194" s="4"/>
      <c r="E194" s="7"/>
      <c r="G194" s="9"/>
      <c r="H194" s="34"/>
      <c r="I194" s="4"/>
      <c r="J194" s="7"/>
      <c r="L194" s="9"/>
      <c r="M194" s="34"/>
      <c r="N194" s="4"/>
      <c r="O194" s="7"/>
      <c r="Q194" s="9"/>
      <c r="R194" s="34"/>
      <c r="S194" s="4"/>
      <c r="T194" s="7"/>
    </row>
    <row r="195" spans="1:20" x14ac:dyDescent="0.25">
      <c r="A195">
        <v>193</v>
      </c>
      <c r="B195" s="9"/>
      <c r="C195" s="34"/>
      <c r="D195" s="4"/>
      <c r="E195" s="7"/>
      <c r="G195" s="9"/>
      <c r="H195" s="34"/>
      <c r="I195" s="4"/>
      <c r="J195" s="7"/>
      <c r="L195" s="9"/>
      <c r="M195" s="34"/>
      <c r="N195" s="4"/>
      <c r="O195" s="7"/>
      <c r="Q195" s="9"/>
      <c r="R195" s="34"/>
      <c r="S195" s="4"/>
      <c r="T195" s="7"/>
    </row>
    <row r="196" spans="1:20" x14ac:dyDescent="0.25">
      <c r="A196">
        <v>194</v>
      </c>
      <c r="B196" s="9"/>
      <c r="C196" s="34"/>
      <c r="D196" s="4"/>
      <c r="E196" s="7"/>
      <c r="G196" s="9"/>
      <c r="H196" s="34"/>
      <c r="I196" s="4"/>
      <c r="J196" s="7"/>
      <c r="L196" s="9"/>
      <c r="M196" s="34"/>
      <c r="N196" s="4"/>
      <c r="O196" s="7"/>
      <c r="Q196" s="9"/>
      <c r="R196" s="34"/>
      <c r="S196" s="4"/>
      <c r="T196" s="7"/>
    </row>
    <row r="197" spans="1:20" x14ac:dyDescent="0.25">
      <c r="A197">
        <v>195</v>
      </c>
      <c r="B197" s="9"/>
      <c r="C197" s="34"/>
      <c r="D197" s="4"/>
      <c r="E197" s="7"/>
      <c r="G197" s="9"/>
      <c r="H197" s="34"/>
      <c r="I197" s="4"/>
      <c r="J197" s="7"/>
      <c r="L197" s="9"/>
      <c r="M197" s="34"/>
      <c r="N197" s="4"/>
      <c r="O197" s="7"/>
      <c r="Q197" s="9"/>
      <c r="R197" s="34"/>
      <c r="S197" s="4"/>
      <c r="T197" s="7"/>
    </row>
    <row r="198" spans="1:20" x14ac:dyDescent="0.25">
      <c r="A198">
        <v>196</v>
      </c>
      <c r="B198" s="9"/>
      <c r="C198" s="34"/>
      <c r="D198" s="4"/>
      <c r="E198" s="7"/>
      <c r="G198" s="9"/>
      <c r="H198" s="34"/>
      <c r="I198" s="4"/>
      <c r="J198" s="7"/>
      <c r="L198" s="9"/>
      <c r="M198" s="34"/>
      <c r="N198" s="4"/>
      <c r="O198" s="7"/>
      <c r="Q198" s="9"/>
      <c r="R198" s="34"/>
      <c r="S198" s="4"/>
      <c r="T198" s="7"/>
    </row>
    <row r="199" spans="1:20" x14ac:dyDescent="0.25">
      <c r="A199">
        <v>197</v>
      </c>
      <c r="B199" s="9"/>
      <c r="C199" s="34"/>
      <c r="D199" s="4"/>
      <c r="E199" s="7"/>
      <c r="G199" s="9"/>
      <c r="H199" s="34"/>
      <c r="I199" s="4"/>
      <c r="J199" s="7"/>
      <c r="L199" s="9"/>
      <c r="M199" s="34"/>
      <c r="N199" s="4"/>
      <c r="O199" s="7"/>
      <c r="Q199" s="9"/>
      <c r="R199" s="34"/>
      <c r="S199" s="4"/>
      <c r="T199" s="7"/>
    </row>
    <row r="200" spans="1:20" x14ac:dyDescent="0.25">
      <c r="A200">
        <v>198</v>
      </c>
      <c r="B200" s="9"/>
      <c r="C200" s="34"/>
      <c r="D200" s="4"/>
      <c r="E200" s="7"/>
      <c r="G200" s="9"/>
      <c r="H200" s="34"/>
      <c r="I200" s="4"/>
      <c r="J200" s="7"/>
      <c r="L200" s="9"/>
      <c r="M200" s="34"/>
      <c r="N200" s="4"/>
      <c r="O200" s="7"/>
      <c r="Q200" s="9"/>
      <c r="R200" s="34"/>
      <c r="S200" s="4"/>
      <c r="T200" s="7"/>
    </row>
    <row r="201" spans="1:20" x14ac:dyDescent="0.25">
      <c r="A201">
        <v>199</v>
      </c>
      <c r="B201" s="9"/>
      <c r="C201" s="34"/>
      <c r="D201" s="4"/>
      <c r="E201" s="7"/>
      <c r="G201" s="9"/>
      <c r="H201" s="34"/>
      <c r="I201" s="4"/>
      <c r="J201" s="7"/>
      <c r="L201" s="9"/>
      <c r="M201" s="34"/>
      <c r="N201" s="4"/>
      <c r="O201" s="7"/>
      <c r="Q201" s="9"/>
      <c r="R201" s="34"/>
      <c r="S201" s="4"/>
      <c r="T201" s="7"/>
    </row>
    <row r="202" spans="1:20" x14ac:dyDescent="0.25">
      <c r="A202">
        <v>200</v>
      </c>
      <c r="B202" s="9"/>
      <c r="C202" s="34"/>
      <c r="D202" s="4"/>
      <c r="E202" s="7"/>
      <c r="G202" s="9"/>
      <c r="H202" s="34"/>
      <c r="I202" s="4"/>
      <c r="J202" s="7"/>
      <c r="L202" s="9"/>
      <c r="M202" s="34"/>
      <c r="N202" s="4"/>
      <c r="O202" s="7"/>
      <c r="Q202" s="9"/>
      <c r="R202" s="34"/>
      <c r="S202" s="4"/>
      <c r="T202" s="7"/>
    </row>
    <row r="203" spans="1:20" x14ac:dyDescent="0.25">
      <c r="A203">
        <v>201</v>
      </c>
      <c r="B203" s="9"/>
      <c r="C203" s="34"/>
      <c r="D203" s="4"/>
      <c r="E203" s="7"/>
      <c r="G203" s="9"/>
      <c r="H203" s="34"/>
      <c r="I203" s="4"/>
      <c r="J203" s="7"/>
      <c r="L203" s="9"/>
      <c r="M203" s="34"/>
      <c r="N203" s="4"/>
      <c r="O203" s="7"/>
      <c r="Q203" s="9"/>
      <c r="R203" s="34"/>
      <c r="S203" s="4"/>
      <c r="T203" s="7"/>
    </row>
    <row r="204" spans="1:20" x14ac:dyDescent="0.25">
      <c r="A204">
        <v>202</v>
      </c>
      <c r="B204" s="9"/>
      <c r="C204" s="34"/>
      <c r="D204" s="4"/>
      <c r="E204" s="7"/>
      <c r="G204" s="9"/>
      <c r="H204" s="34"/>
      <c r="I204" s="4"/>
      <c r="J204" s="7"/>
      <c r="L204" s="9"/>
      <c r="M204" s="34"/>
      <c r="N204" s="4"/>
      <c r="O204" s="7"/>
      <c r="Q204" s="9"/>
      <c r="R204" s="34"/>
      <c r="S204" s="4"/>
      <c r="T204" s="7"/>
    </row>
    <row r="205" spans="1:20" x14ac:dyDescent="0.25">
      <c r="A205">
        <v>203</v>
      </c>
      <c r="B205" s="9"/>
      <c r="C205" s="34"/>
      <c r="D205" s="4"/>
      <c r="E205" s="7"/>
      <c r="G205" s="9"/>
      <c r="H205" s="34"/>
      <c r="I205" s="4"/>
      <c r="J205" s="7"/>
      <c r="L205" s="9"/>
      <c r="M205" s="34"/>
      <c r="N205" s="4"/>
      <c r="O205" s="7"/>
      <c r="Q205" s="9"/>
      <c r="R205" s="34"/>
      <c r="S205" s="4"/>
      <c r="T205" s="7"/>
    </row>
    <row r="206" spans="1:20" ht="15.75" thickBot="1" x14ac:dyDescent="0.3">
      <c r="B206" s="10"/>
      <c r="C206" s="37"/>
      <c r="D206" s="11"/>
      <c r="E206" s="12"/>
      <c r="G206" s="10"/>
      <c r="H206" s="37"/>
      <c r="I206" s="11"/>
      <c r="J206" s="12"/>
      <c r="L206" s="10"/>
      <c r="M206" s="37"/>
      <c r="N206" s="11"/>
      <c r="O206" s="12"/>
      <c r="Q206" s="10"/>
      <c r="R206" s="37"/>
      <c r="S206" s="11"/>
      <c r="T206" s="1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API 1298B</vt:lpstr>
      <vt:lpstr>API 4377</vt:lpstr>
      <vt:lpstr>BD Precios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dcterms:created xsi:type="dcterms:W3CDTF">2020-03-25T20:51:50Z</dcterms:created>
  <dcterms:modified xsi:type="dcterms:W3CDTF">2020-06-25T22:43:11Z</dcterms:modified>
</cp:coreProperties>
</file>