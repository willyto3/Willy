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0AE7B64C-5B8E-4551-9A15-7FCB925A9D85}" xr6:coauthVersionLast="44" xr6:coauthVersionMax="44" xr10:uidLastSave="{00000000-0000-0000-0000-000000000000}"/>
  <bookViews>
    <workbookView xWindow="-120" yWindow="-120" windowWidth="20730" windowHeight="11160" firstSheet="2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N9" i="23"/>
  <c r="H9" i="23"/>
  <c r="I9" i="23"/>
  <c r="L9" i="23"/>
  <c r="J9" i="23"/>
  <c r="G9" i="23"/>
  <c r="M9" i="23"/>
  <c r="K9" i="23"/>
  <c r="K11" i="10" l="1"/>
  <c r="D5" i="23" s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<sst xmlns="http://schemas.openxmlformats.org/spreadsheetml/2006/main" count="705" uniqueCount="289">
  <si>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</si>
  <si>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</si>
  <si>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</si>
  <si>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</si>
  <si>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</si>
  <si>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</si>
  <si>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</si>
  <si>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</si>
  <si>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</si>
  <si>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</si>
  <si>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</si>
  <si>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</si>
  <si>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</si>
  <si>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</si>
  <si>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</si>
  <si>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</si>
  <si>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</si>
  <si>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</si>
  <si>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</si>
  <si>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</si>
  <si>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</si>
  <si>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</si>
  <si>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</si>
  <si>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</si>
  <si>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</si>
  <si>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</si>
  <si>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</si>
  <si>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</si>
  <si>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</si>
  <si>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</si>
  <si>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</si>
  <si>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</si>
  <si>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</si>
  <si>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</si>
  <si>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</si>
  <si>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</si>
  <si>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</si>
  <si>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</si>
  <si>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</si>
  <si>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</si>
  <si>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</si>
  <si>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</si>
  <si>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</si>
  <si>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</si>
  <si>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</si>
  <si>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</si>
  <si>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</si>
  <si>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</si>
  <si>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</si>
  <si>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</si>
  <si>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</si>
  <si>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</si>
  <si>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</si>
  <si>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</si>
  <si>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</si>
  <si>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</si>
  <si>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</si>
  <si>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</si>
  <si>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</si>
  <si>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</si>
  <si>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</si>
  <si>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</si>
  <si>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</si>
  <si>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</si>
  <si>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</si>
  <si>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</si>
  <si>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</si>
  <si>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</si>
  <si>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</si>
  <si>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</si>
  <si>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</si>
  <si>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</si>
  <si>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</si>
  <si>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</si>
  <si>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</si>
  <si>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</si>
  <si>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</si>
  <si>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</si>
  <si>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</si>
  <si>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</si>
  <si>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</si>
  <si>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</si>
  <si>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</si>
  <si>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</si>
  <si>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</si>
  <si>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</si>
  <si>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</si>
  <si>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</si>
  <si>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</si>
  <si>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</si>
  <si>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</si>
  <si>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</si>
  <si>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</si>
  <si>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</si>
  <si>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</si>
  <si>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</si>
  <si>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</si>
  <si>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</si>
  <si>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</si>
  <si>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</si>
  <si>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</si>
  <si>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</si>
  <si>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</si>
  <si>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</si>
  <si>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</si>
  <si>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</si>
  <si>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</si>
  <si>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</si>
  <si>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</si>
  <si>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</si>
  <si>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</si>
  <si>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</si>
  <si>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</si>
  <si>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</si>
  <si>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</si>
  <si>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</si>
  <si>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</si>
  <si>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</si>
  <si>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</si>
  <si>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</si>
  <si>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</si>
  <si>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</si>
  <si>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</si>
  <si>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</si>
  <si>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</si>
  <si>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</si>
  <si>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</si>
  <si>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</si>
  <si>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</si>
  <si>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</si>
  <si>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</si>
  <si>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</si>
  <si>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</si>
  <si>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</si>
  <si>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</si>
  <si>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</si>
  <si>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</si>
  <si>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</si>
  <si>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</si>
  <si>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</si>
  <si>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</si>
  <si>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</si>
  <si>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</si>
  <si>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</si>
  <si>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</si>
  <si>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</si>
  <si>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</si>
  <si>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</si>
  <si>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</si>
  <si>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</si>
  <si>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</si>
  <si>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</si>
  <si>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</si>
  <si>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</si>
  <si>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</si>
  <si>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</si>
  <si>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</si>
  <si>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</si>
  <si>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</si>
  <si>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</si>
  <si>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</si>
  <si>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</si>
  <si>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</si>
  <si>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</si>
  <si>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</si>
  <si>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</si>
  <si>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</si>
  <si>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</si>
  <si>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</si>
  <si>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</si>
  <si>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</si>
  <si>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</si>
  <si>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</si>
  <si>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</si>
  <si>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</si>
  <si>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</si>
  <si>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</si>
  <si>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</si>
  <si>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</si>
  <si>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</si>
  <si>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</si>
  <si>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</si>
  <si>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</si>
  <si>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</si>
  <si>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</si>
  <si>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</si>
  <si>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</si>
  <si>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</si>
  <si>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</si>
  <si>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</si>
  <si>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</si>
  <si>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</si>
  <si>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</si>
  <si>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</si>
  <si>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</si>
  <si>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</si>
  <si>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</si>
  <si>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</si>
  <si>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</si>
  <si>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</si>
  <si>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</si>
  <si>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</si>
  <si>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</si>
  <si>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</si>
  <si>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</si>
  <si>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</si>
  <si>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</si>
  <si>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</si>
  <si>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</si>
  <si>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</si>
  <si>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</si>
  <si>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</si>
  <si>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</si>
  <si>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</si>
  <si>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</si>
  <si>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</si>
  <si>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</si>
  <si>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</si>
  <si>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</si>
  <si>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</si>
  <si>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</si>
  <si>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</si>
  <si>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</si>
  <si>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</si>
  <si>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</si>
  <si>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</si>
  <si>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</si>
  <si>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</si>
  <si>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</si>
  <si>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</si>
  <si>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</si>
  <si>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</si>
  <si>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</si>
  <si>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</si>
  <si>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</si>
  <si>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</si>
  <si>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</si>
  <si>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</si>
  <si>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</si>
  <si>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</si>
  <si>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</si>
  <si>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</si>
  <si>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</si>
  <si>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</si>
  <si>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</si>
  <si>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</si>
  <si>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</si>
  <si>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</si>
  <si>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</si>
  <si>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</si>
  <si>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</si>
  <si>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</si>
  <si>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</si>
  <si>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</si>
  <si>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</si>
  <si>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</si>
  <si>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</si>
  <si>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</si>
  <si>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</si>
  <si>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</si>
  <si>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</si>
  <si>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</si>
  <si>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</si>
  <si>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</si>
  <si>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</si>
  <si>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</si>
  <si>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</si>
  <si>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</si>
  <si>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</si>
  <si>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</si>
  <si>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</si>
  <si>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</si>
  <si>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yy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</si>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</sst>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6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2" dataDxfId="20" headerRowBorderDxfId="21" tableBorderDxfId="19" totalsRowBorderDxfId="18">
  <autoFilter ref="A5:R60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B1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Personal'!$A$6:$R$64,3,FALSE))&amp;" "&amp;IF($E$8="","",VLOOKUP($E$8,'BD Personal'!$A$6:$R$64,4,FALSE))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Personal'!$A$6:$R$64,2,FALSE))</f>
        <v/>
      </c>
      <c r="L7" s="204"/>
      <c r="M7" s="204"/>
      <c r="N7" s="203" t="s">
        <v>20</v>
      </c>
      <c r="O7" s="203"/>
      <c r="P7" s="205" t="str">
        <f ca="1">IF($E$8="","",TODAY()-VLOOKUP($E$8,'BD Personal'!$A$6:$R$64,8,FALSE))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2"/>
      <c r="F8" s="212"/>
      <c r="G8" s="212"/>
      <c r="H8" s="212"/>
      <c r="I8" s="203" t="s">
        <v>22</v>
      </c>
      <c r="J8" s="203"/>
      <c r="K8" s="204" t="str">
        <f>IF($E$8="","",VLOOKUP($E$8,'BD Personal'!$A$6:$R$64,11,FALSE))</f>
        <v/>
      </c>
      <c r="L8" s="204"/>
      <c r="M8" s="204"/>
      <c r="N8" s="203" t="s">
        <v>23</v>
      </c>
      <c r="O8" s="203"/>
      <c r="P8" s="213" t="str">
        <f>IF($E$8="","",VLOOKUP($E$8,'BD Personal'!$A$6:$R$64,10,FALSE))</f>
        <v/>
      </c>
      <c r="Q8" s="214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Personal'!$A$6:$R$64,13,FALSE))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Personal'!$A$6:$R$64,14,FALSE))</f>
        <v/>
      </c>
      <c r="L9" s="204"/>
      <c r="M9" s="204"/>
      <c r="N9" s="208" t="s">
        <v>26</v>
      </c>
      <c r="O9" s="208"/>
      <c r="P9" s="209"/>
      <c r="Q9" s="210"/>
      <c r="S9" s="4"/>
      <c r="T9" s="7"/>
      <c r="U9" s="7"/>
      <c r="V9" s="211"/>
      <c r="W9" s="211"/>
      <c r="X9" s="211"/>
    </row>
    <row r="10" spans="1:24" ht="26.1" customHeight="1" x14ac:dyDescent="0.25">
      <c r="B10" s="130"/>
      <c r="C10" s="203" t="s">
        <v>27</v>
      </c>
      <c r="D10" s="203"/>
      <c r="E10" s="224" t="str">
        <f>IF($E$8="","",VLOOKUP($E$8,'BD Personal'!$A$6:$R$64,15,FALSE))</f>
        <v/>
      </c>
      <c r="F10" s="224"/>
      <c r="G10" s="224"/>
      <c r="H10" s="224"/>
      <c r="I10" s="203" t="s">
        <v>28</v>
      </c>
      <c r="J10" s="203"/>
      <c r="K10" s="204" t="str">
        <f>IF($E$8="","",VLOOKUP($E$8,'BD Personal'!$A$6:$R$64,17,FALSE))</f>
        <v/>
      </c>
      <c r="L10" s="204"/>
      <c r="M10" s="204"/>
      <c r="N10" s="203" t="s">
        <v>29</v>
      </c>
      <c r="O10" s="203"/>
      <c r="P10" s="209" t="str">
        <f>IF($E$8="","",VLOOKUP($E$8,'BD Personal'!$A$6:$R$64,18,FALSE))</f>
        <v/>
      </c>
      <c r="Q10" s="210"/>
      <c r="S10" s="4"/>
      <c r="T10" s="8"/>
      <c r="U10" s="219"/>
      <c r="V10" s="219"/>
      <c r="W10" s="219"/>
      <c r="X10" s="2"/>
    </row>
    <row r="11" spans="1:24" ht="26.1" customHeight="1" thickBot="1" x14ac:dyDescent="0.25">
      <c r="B11" s="130"/>
      <c r="C11" s="203" t="s">
        <v>30</v>
      </c>
      <c r="D11" s="203"/>
      <c r="E11" s="220" t="str">
        <f>IF($E$8="","",VLOOKUP($E$8,'BD Personal'!$A$6:$R$64,16,FALSE))</f>
        <v/>
      </c>
      <c r="F11" s="220"/>
      <c r="G11" s="220"/>
      <c r="H11" s="220"/>
      <c r="I11" s="221" t="s">
        <v>31</v>
      </c>
      <c r="J11" s="221"/>
      <c r="K11" s="222" t="str">
        <f>Cronograma!B6</f>
        <v>MAYO</v>
      </c>
      <c r="L11" s="222"/>
      <c r="M11" s="222"/>
      <c r="N11" s="131"/>
      <c r="O11" s="132"/>
      <c r="P11" s="133"/>
      <c r="Q11" s="134"/>
      <c r="S11" s="4"/>
      <c r="T11" s="7"/>
      <c r="U11" s="2"/>
      <c r="V11" s="223"/>
      <c r="W11" s="223"/>
      <c r="X11" s="223"/>
    </row>
    <row r="12" spans="1:24" ht="27.75" customHeight="1" x14ac:dyDescent="0.25">
      <c r="A12" s="1"/>
      <c r="B12" s="215" t="s">
        <v>32</v>
      </c>
      <c r="C12" s="216"/>
      <c r="D12" s="216" t="s">
        <v>33</v>
      </c>
      <c r="E12" s="216"/>
      <c r="F12" s="217" t="s">
        <v>2</v>
      </c>
      <c r="G12" s="217" t="s">
        <v>176</v>
      </c>
      <c r="H12" s="217" t="s">
        <v>3</v>
      </c>
      <c r="I12" s="217" t="s">
        <v>4</v>
      </c>
      <c r="J12" s="217" t="s">
        <v>34</v>
      </c>
      <c r="K12" s="217" t="s">
        <v>35</v>
      </c>
      <c r="L12" s="217" t="s">
        <v>36</v>
      </c>
      <c r="M12" s="217" t="s">
        <v>37</v>
      </c>
      <c r="N12" s="217" t="s">
        <v>38</v>
      </c>
      <c r="O12" s="233" t="s">
        <v>5</v>
      </c>
      <c r="P12" s="225" t="s">
        <v>39</v>
      </c>
      <c r="Q12" s="226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34"/>
      <c r="P13" s="227"/>
      <c r="Q13" s="22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43952</v>
      </c>
      <c r="C14" s="97" t="str">
        <f t="shared" ref="C14:C44" si="0">TEXT(B14, "dddd")</f>
        <v>viernes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9"/>
      <c r="Q14" s="23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43953</v>
      </c>
      <c r="C15" s="106" t="str">
        <f t="shared" si="0"/>
        <v>sábado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43954</v>
      </c>
      <c r="C16" s="106" t="str">
        <f t="shared" si="0"/>
        <v>domingo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43955</v>
      </c>
      <c r="C17" s="106" t="str">
        <f t="shared" si="0"/>
        <v>lunes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43956</v>
      </c>
      <c r="C18" s="106" t="str">
        <f t="shared" si="0"/>
        <v>martes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43957</v>
      </c>
      <c r="C19" s="106" t="str">
        <f t="shared" si="0"/>
        <v>miércoles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43958</v>
      </c>
      <c r="C20" s="106" t="str">
        <f t="shared" si="0"/>
        <v>jueves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43959</v>
      </c>
      <c r="C21" s="106" t="str">
        <f t="shared" si="0"/>
        <v>viernes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43960</v>
      </c>
      <c r="C22" s="106" t="str">
        <f t="shared" si="0"/>
        <v>sábado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43961</v>
      </c>
      <c r="C23" s="106" t="str">
        <f t="shared" si="0"/>
        <v>domingo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43962</v>
      </c>
      <c r="C24" s="106" t="str">
        <f t="shared" si="0"/>
        <v>lunes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43963</v>
      </c>
      <c r="C25" s="106" t="str">
        <f t="shared" si="0"/>
        <v>martes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43964</v>
      </c>
      <c r="C26" s="106" t="str">
        <f t="shared" si="0"/>
        <v>miércoles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43965</v>
      </c>
      <c r="C27" s="106" t="str">
        <f t="shared" si="0"/>
        <v>jueves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43966</v>
      </c>
      <c r="C28" s="106" t="str">
        <f t="shared" si="0"/>
        <v>viernes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43967</v>
      </c>
      <c r="C29" s="106" t="str">
        <f t="shared" si="0"/>
        <v>sábado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43968</v>
      </c>
      <c r="C30" s="106" t="str">
        <f t="shared" si="0"/>
        <v>domingo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43969</v>
      </c>
      <c r="C31" s="106" t="str">
        <f t="shared" si="0"/>
        <v>lunes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43970</v>
      </c>
      <c r="C32" s="106" t="str">
        <f t="shared" si="0"/>
        <v>martes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43971</v>
      </c>
      <c r="C33" s="106" t="str">
        <f t="shared" si="0"/>
        <v>miércoles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43972</v>
      </c>
      <c r="C34" s="106" t="str">
        <f t="shared" si="0"/>
        <v>jueves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43973</v>
      </c>
      <c r="C35" s="106" t="str">
        <f t="shared" si="0"/>
        <v>viernes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43974</v>
      </c>
      <c r="C36" s="106" t="str">
        <f t="shared" si="0"/>
        <v>sábado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43975</v>
      </c>
      <c r="C37" s="106" t="str">
        <f t="shared" si="0"/>
        <v>domingo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43976</v>
      </c>
      <c r="C38" s="106" t="str">
        <f t="shared" si="0"/>
        <v>lunes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43977</v>
      </c>
      <c r="C39" s="106" t="str">
        <f t="shared" si="0"/>
        <v>martes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43978</v>
      </c>
      <c r="C40" s="106" t="str">
        <f t="shared" si="0"/>
        <v>miércoles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43979</v>
      </c>
      <c r="C41" s="106" t="str">
        <f t="shared" si="0"/>
        <v>jueves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43980</v>
      </c>
      <c r="C42" s="106" t="str">
        <f t="shared" si="0"/>
        <v>viernes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43981</v>
      </c>
      <c r="C43" s="106" t="str">
        <f t="shared" si="0"/>
        <v>sábado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43982</v>
      </c>
      <c r="C44" s="114" t="str">
        <f t="shared" si="0"/>
        <v>domingo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15" t="s">
        <v>32</v>
      </c>
      <c r="C48" s="216"/>
      <c r="D48" s="216" t="s">
        <v>33</v>
      </c>
      <c r="E48" s="216"/>
      <c r="F48" s="217" t="s">
        <v>2</v>
      </c>
      <c r="G48" s="217" t="s">
        <v>176</v>
      </c>
      <c r="H48" s="217" t="s">
        <v>3</v>
      </c>
      <c r="I48" s="217" t="s">
        <v>4</v>
      </c>
      <c r="J48" s="217" t="s">
        <v>34</v>
      </c>
      <c r="K48" s="217" t="s">
        <v>35</v>
      </c>
      <c r="L48" s="217" t="s">
        <v>36</v>
      </c>
      <c r="M48" s="217" t="s">
        <v>37</v>
      </c>
      <c r="N48" s="217" t="s">
        <v>38</v>
      </c>
      <c r="O48" s="233" t="s">
        <v>5</v>
      </c>
      <c r="P48" s="225" t="s">
        <v>39</v>
      </c>
      <c r="Q48" s="226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8"/>
      <c r="G49" s="218"/>
      <c r="H49" s="218"/>
      <c r="I49" s="218"/>
      <c r="J49" s="218"/>
      <c r="K49" s="218"/>
      <c r="L49" s="218"/>
      <c r="M49" s="218"/>
      <c r="N49" s="218"/>
      <c r="O49" s="234"/>
      <c r="P49" s="227"/>
      <c r="Q49" s="22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3"/>
      <c r="Q50" s="24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5"/>
      <c r="Q51" s="24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5"/>
      <c r="Q52" s="24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5"/>
      <c r="Q53" s="24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7"/>
      <c r="Q54" s="24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6" t="s">
        <v>12</v>
      </c>
      <c r="C56" s="257"/>
      <c r="D56" s="257"/>
      <c r="E56" s="257"/>
      <c r="F56" s="257"/>
      <c r="G56" s="25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9" t="s">
        <v>46</v>
      </c>
      <c r="C58" s="260"/>
      <c r="D58" s="260"/>
      <c r="E58" s="260"/>
      <c r="F58" s="261"/>
      <c r="H58" s="262" t="s">
        <v>47</v>
      </c>
      <c r="I58" s="263"/>
      <c r="J58" s="263"/>
      <c r="K58" s="263"/>
      <c r="L58" s="263"/>
      <c r="M58" s="263"/>
      <c r="N58" s="263"/>
      <c r="O58" s="263"/>
      <c r="P58" s="263"/>
      <c r="Q58" s="264"/>
      <c r="R58" s="5"/>
      <c r="S58" s="5"/>
      <c r="U58" s="1"/>
      <c r="V58" s="1"/>
    </row>
    <row r="59" spans="1:22" s="13" customFormat="1" ht="22.5" customHeight="1" thickBot="1" x14ac:dyDescent="0.3">
      <c r="B59" s="268" t="s">
        <v>48</v>
      </c>
      <c r="C59" s="269"/>
      <c r="D59" s="10" t="s">
        <v>49</v>
      </c>
      <c r="E59" s="10" t="s">
        <v>50</v>
      </c>
      <c r="F59" s="14" t="s">
        <v>51</v>
      </c>
      <c r="H59" s="265"/>
      <c r="I59" s="266"/>
      <c r="J59" s="266"/>
      <c r="K59" s="266"/>
      <c r="L59" s="266"/>
      <c r="M59" s="266"/>
      <c r="N59" s="266"/>
      <c r="O59" s="266"/>
      <c r="P59" s="266"/>
      <c r="Q59" s="267"/>
    </row>
    <row r="60" spans="1:22" ht="17.25" customHeight="1" x14ac:dyDescent="0.25">
      <c r="A60" s="1"/>
      <c r="B60" s="270" t="str">
        <f>+H12</f>
        <v xml:space="preserve"> EXT. DIURNA 1.25</v>
      </c>
      <c r="C60" s="27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2"/>
      <c r="I60" s="273"/>
      <c r="J60" s="273"/>
      <c r="K60" s="273"/>
      <c r="L60" s="273"/>
      <c r="M60" s="273"/>
      <c r="N60" s="273"/>
      <c r="O60" s="273"/>
      <c r="P60" s="273"/>
      <c r="Q60" s="274"/>
      <c r="R60" s="1"/>
      <c r="S60" s="1"/>
      <c r="T60" s="1"/>
      <c r="U60" s="1"/>
      <c r="V60" s="1"/>
    </row>
    <row r="61" spans="1:22" ht="17.25" customHeight="1" x14ac:dyDescent="0.25">
      <c r="A61" s="1"/>
      <c r="B61" s="250" t="str">
        <f>+I12</f>
        <v>EXT. NOC. ORD. 1.75</v>
      </c>
      <c r="C61" s="25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5"/>
      <c r="I61" s="276"/>
      <c r="J61" s="276"/>
      <c r="K61" s="276"/>
      <c r="L61" s="276"/>
      <c r="M61" s="276"/>
      <c r="N61" s="276"/>
      <c r="O61" s="276"/>
      <c r="P61" s="276"/>
      <c r="Q61" s="277"/>
      <c r="R61" s="1"/>
      <c r="S61" s="1"/>
      <c r="T61" s="1"/>
      <c r="U61" s="1"/>
      <c r="V61" s="1"/>
    </row>
    <row r="62" spans="1:22" ht="17.25" customHeight="1" x14ac:dyDescent="0.25">
      <c r="A62" s="1"/>
      <c r="B62" s="250" t="str">
        <f>+J12</f>
        <v>EXTRA DOM./FES. DIU.2.00</v>
      </c>
      <c r="C62" s="25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5"/>
      <c r="I62" s="276"/>
      <c r="J62" s="276"/>
      <c r="K62" s="276"/>
      <c r="L62" s="276"/>
      <c r="M62" s="276"/>
      <c r="N62" s="276"/>
      <c r="O62" s="276"/>
      <c r="P62" s="276"/>
      <c r="Q62" s="277"/>
      <c r="R62" s="1"/>
      <c r="S62" s="1"/>
      <c r="T62" s="1"/>
      <c r="U62" s="1"/>
      <c r="V62" s="1"/>
    </row>
    <row r="63" spans="1:22" ht="17.25" customHeight="1" x14ac:dyDescent="0.25">
      <c r="A63" s="1"/>
      <c r="B63" s="250" t="str">
        <f>+K12</f>
        <v>EXTRA DOM./FES.  NOC. 2.50</v>
      </c>
      <c r="C63" s="25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5"/>
      <c r="I63" s="276"/>
      <c r="J63" s="276"/>
      <c r="K63" s="276"/>
      <c r="L63" s="276"/>
      <c r="M63" s="276"/>
      <c r="N63" s="276"/>
      <c r="O63" s="276"/>
      <c r="P63" s="276"/>
      <c r="Q63" s="277"/>
      <c r="R63" s="1"/>
      <c r="S63" s="1"/>
      <c r="T63" s="1"/>
      <c r="U63" s="1"/>
      <c r="V63" s="1"/>
    </row>
    <row r="64" spans="1:22" ht="17.25" customHeight="1" x14ac:dyDescent="0.25">
      <c r="A64" s="1"/>
      <c r="B64" s="250" t="str">
        <f>+L12</f>
        <v>REC. NOCT ORD.              0.35</v>
      </c>
      <c r="C64" s="25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5"/>
      <c r="I64" s="276"/>
      <c r="J64" s="276"/>
      <c r="K64" s="276"/>
      <c r="L64" s="276"/>
      <c r="M64" s="276"/>
      <c r="N64" s="276"/>
      <c r="O64" s="276"/>
      <c r="P64" s="276"/>
      <c r="Q64" s="277"/>
      <c r="R64" s="1"/>
      <c r="S64" s="1"/>
      <c r="T64" s="1"/>
      <c r="U64" s="1"/>
      <c r="V64" s="1"/>
    </row>
    <row r="65" spans="1:22" ht="17.25" customHeight="1" x14ac:dyDescent="0.25">
      <c r="A65" s="1"/>
      <c r="B65" s="250" t="str">
        <f>+M12</f>
        <v xml:space="preserve">REC, DOM / FESTIVA DIU 1.75 </v>
      </c>
      <c r="C65" s="25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5"/>
      <c r="I65" s="276"/>
      <c r="J65" s="276"/>
      <c r="K65" s="276"/>
      <c r="L65" s="276"/>
      <c r="M65" s="276"/>
      <c r="N65" s="276"/>
      <c r="O65" s="276"/>
      <c r="P65" s="276"/>
      <c r="Q65" s="277"/>
      <c r="R65" s="1"/>
      <c r="S65" s="1"/>
      <c r="T65" s="1"/>
      <c r="U65" s="1"/>
      <c r="V65" s="1"/>
    </row>
    <row r="66" spans="1:22" ht="17.25" customHeight="1" x14ac:dyDescent="0.25">
      <c r="A66" s="1"/>
      <c r="B66" s="250" t="str">
        <f>+N12</f>
        <v>REC. DOM. / FES. NOC.  2.10</v>
      </c>
      <c r="C66" s="25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5"/>
      <c r="I66" s="276"/>
      <c r="J66" s="276"/>
      <c r="K66" s="276"/>
      <c r="L66" s="276"/>
      <c r="M66" s="276"/>
      <c r="N66" s="276"/>
      <c r="O66" s="276"/>
      <c r="P66" s="276"/>
      <c r="Q66" s="277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2" t="str">
        <f>+O12</f>
        <v>COMPENSATORIOS</v>
      </c>
      <c r="C67" s="25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5"/>
      <c r="I67" s="276"/>
      <c r="J67" s="276"/>
      <c r="K67" s="276"/>
      <c r="L67" s="276"/>
      <c r="M67" s="276"/>
      <c r="N67" s="276"/>
      <c r="O67" s="276"/>
      <c r="P67" s="276"/>
      <c r="Q67" s="27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5"/>
      <c r="I68" s="276"/>
      <c r="J68" s="276"/>
      <c r="K68" s="276"/>
      <c r="L68" s="276"/>
      <c r="M68" s="276"/>
      <c r="N68" s="276"/>
      <c r="O68" s="276"/>
      <c r="P68" s="276"/>
      <c r="Q68" s="277"/>
      <c r="R68" s="1"/>
      <c r="S68" s="1"/>
      <c r="T68" s="1"/>
      <c r="U68" s="1"/>
      <c r="V68" s="1"/>
    </row>
    <row r="69" spans="1:22" ht="18" customHeight="1" thickBot="1" x14ac:dyDescent="0.3">
      <c r="A69" s="1"/>
      <c r="B69" s="254" t="s">
        <v>53</v>
      </c>
      <c r="C69" s="254"/>
      <c r="D69" s="254"/>
      <c r="E69" s="254"/>
      <c r="F69" s="95">
        <f>SUM(F60:F67)</f>
        <v>0</v>
      </c>
      <c r="G69" s="1"/>
      <c r="H69" s="278"/>
      <c r="I69" s="279"/>
      <c r="J69" s="279"/>
      <c r="K69" s="279"/>
      <c r="L69" s="279"/>
      <c r="M69" s="279"/>
      <c r="N69" s="279"/>
      <c r="O69" s="279"/>
      <c r="P69" s="279"/>
      <c r="Q69" s="28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5"/>
      <c r="D76" s="255"/>
      <c r="E76" s="255"/>
      <c r="F76" s="255"/>
      <c r="G76" s="255"/>
      <c r="H76" s="255"/>
      <c r="I76" s="255"/>
      <c r="L76" s="255"/>
      <c r="M76" s="255"/>
      <c r="N76" s="255"/>
      <c r="O76" s="255"/>
      <c r="P76" s="255"/>
    </row>
    <row r="77" spans="1:22" ht="30.75" customHeight="1" thickTop="1" x14ac:dyDescent="0.25">
      <c r="C77" s="249" t="s">
        <v>54</v>
      </c>
      <c r="D77" s="249"/>
      <c r="E77" s="249"/>
      <c r="F77" s="249"/>
      <c r="G77" s="249"/>
      <c r="H77" s="249"/>
      <c r="I77" s="249"/>
      <c r="J77" s="16"/>
      <c r="K77" s="16"/>
      <c r="L77" s="249" t="s">
        <v>55</v>
      </c>
      <c r="M77" s="249"/>
      <c r="N77" s="249"/>
      <c r="O77" s="249"/>
      <c r="P77" s="249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1"/>
      <c r="D3" s="281"/>
      <c r="E3" s="190"/>
      <c r="F3" s="197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1"/>
      <c r="D4" s="281"/>
      <c r="E4" s="190"/>
      <c r="F4" s="197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Personal'!$A$6:$R$64,3,FALSE))&amp;" "&amp;IF($E$8="","",VLOOKUP($E$8,'BD Personal'!$A$6:$R$64,4,FALSE))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Personal'!$A$6:$R$64,2,FALSE))</f>
        <v/>
      </c>
      <c r="L7" s="204"/>
      <c r="M7" s="204"/>
      <c r="N7" s="203" t="s">
        <v>20</v>
      </c>
      <c r="O7" s="203"/>
      <c r="P7" s="205" t="str">
        <f ca="1">IF($E$8="","",TODAY()-VLOOKUP($E$8,'BD Personal'!$A$6:$R$64,8,FALSE))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2"/>
      <c r="F8" s="212"/>
      <c r="G8" s="212"/>
      <c r="H8" s="212"/>
      <c r="I8" s="203" t="s">
        <v>22</v>
      </c>
      <c r="J8" s="203"/>
      <c r="K8" s="204" t="str">
        <f>IF($E$8="","",VLOOKUP($E$8,'BD Personal'!$A$6:$R$64,11,FALSE))</f>
        <v/>
      </c>
      <c r="L8" s="204"/>
      <c r="M8" s="204"/>
      <c r="N8" s="203" t="s">
        <v>23</v>
      </c>
      <c r="O8" s="203"/>
      <c r="P8" s="213" t="str">
        <f>IF($E$8="","",VLOOKUP($E$8,'BD Personal'!$A$6:$R$64,10,FALSE))</f>
        <v/>
      </c>
      <c r="Q8" s="214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Personal'!$A$6:$R$64,13,FALSE))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Personal'!$A$6:$R$64,14,FALSE))</f>
        <v/>
      </c>
      <c r="L9" s="204"/>
      <c r="M9" s="204"/>
      <c r="N9" s="208" t="s">
        <v>26</v>
      </c>
      <c r="O9" s="208"/>
      <c r="P9" s="209"/>
      <c r="Q9" s="210"/>
      <c r="S9" s="4"/>
      <c r="T9" s="7"/>
      <c r="U9" s="7"/>
      <c r="V9" s="211"/>
      <c r="W9" s="211"/>
      <c r="X9" s="211"/>
    </row>
    <row r="10" spans="1:24" ht="26.1" customHeight="1" x14ac:dyDescent="0.25">
      <c r="B10" s="130"/>
      <c r="C10" s="203" t="s">
        <v>27</v>
      </c>
      <c r="D10" s="203"/>
      <c r="E10" s="224" t="str">
        <f>IF($E$8="","",VLOOKUP($E$8,'BD Personal'!$A$6:$R$64,15,FALSE))</f>
        <v/>
      </c>
      <c r="F10" s="224"/>
      <c r="G10" s="224"/>
      <c r="H10" s="224"/>
      <c r="I10" s="203" t="s">
        <v>28</v>
      </c>
      <c r="J10" s="203"/>
      <c r="K10" s="204" t="str">
        <f>IF($E$8="","",VLOOKUP($E$8,'BD Personal'!$A$6:$R$64,17,FALSE))</f>
        <v/>
      </c>
      <c r="L10" s="204"/>
      <c r="M10" s="204"/>
      <c r="N10" s="203" t="s">
        <v>29</v>
      </c>
      <c r="O10" s="203"/>
      <c r="P10" s="209" t="str">
        <f>IF($E$8="","",VLOOKUP($E$8,'BD Personal'!$A$6:$R$64,18,FALSE))</f>
        <v/>
      </c>
      <c r="Q10" s="210"/>
      <c r="S10" s="4"/>
      <c r="T10" s="8"/>
      <c r="U10" s="219"/>
      <c r="V10" s="219"/>
      <c r="W10" s="219"/>
      <c r="X10" s="2"/>
    </row>
    <row r="11" spans="1:24" ht="26.1" customHeight="1" thickBot="1" x14ac:dyDescent="0.25">
      <c r="B11" s="130"/>
      <c r="C11" s="203" t="s">
        <v>30</v>
      </c>
      <c r="D11" s="203"/>
      <c r="E11" s="220" t="str">
        <f>IF($E$8="","",VLOOKUP($E$8,'BD Personal'!$A$6:$R$64,16,FALSE))</f>
        <v/>
      </c>
      <c r="F11" s="220"/>
      <c r="G11" s="220"/>
      <c r="H11" s="220"/>
      <c r="I11" s="221" t="s">
        <v>31</v>
      </c>
      <c r="J11" s="221"/>
      <c r="K11" s="222" t="str">
        <f>Cronograma!B6</f>
        <v>MAYO</v>
      </c>
      <c r="L11" s="222"/>
      <c r="M11" s="222"/>
      <c r="N11" s="131"/>
      <c r="O11" s="132"/>
      <c r="P11" s="133"/>
      <c r="Q11" s="134"/>
      <c r="S11" s="4"/>
      <c r="T11" s="7"/>
      <c r="U11" s="2"/>
      <c r="V11" s="223"/>
      <c r="W11" s="223"/>
      <c r="X11" s="223"/>
    </row>
    <row r="12" spans="1:24" ht="27.75" customHeight="1" x14ac:dyDescent="0.25">
      <c r="A12" s="1"/>
      <c r="B12" s="215" t="s">
        <v>32</v>
      </c>
      <c r="C12" s="216"/>
      <c r="D12" s="216" t="s">
        <v>33</v>
      </c>
      <c r="E12" s="216"/>
      <c r="F12" s="217" t="s">
        <v>2</v>
      </c>
      <c r="G12" s="217" t="s">
        <v>176</v>
      </c>
      <c r="H12" s="217" t="s">
        <v>3</v>
      </c>
      <c r="I12" s="217" t="s">
        <v>4</v>
      </c>
      <c r="J12" s="217" t="s">
        <v>34</v>
      </c>
      <c r="K12" s="217" t="s">
        <v>35</v>
      </c>
      <c r="L12" s="217" t="s">
        <v>36</v>
      </c>
      <c r="M12" s="217" t="s">
        <v>37</v>
      </c>
      <c r="N12" s="217" t="s">
        <v>38</v>
      </c>
      <c r="O12" s="233" t="s">
        <v>5</v>
      </c>
      <c r="P12" s="225" t="s">
        <v>39</v>
      </c>
      <c r="Q12" s="226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18"/>
      <c r="G13" s="218"/>
      <c r="H13" s="218"/>
      <c r="I13" s="218"/>
      <c r="J13" s="218"/>
      <c r="K13" s="218"/>
      <c r="L13" s="218"/>
      <c r="M13" s="218"/>
      <c r="N13" s="218"/>
      <c r="O13" s="234"/>
      <c r="P13" s="227"/>
      <c r="Q13" s="22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43952</v>
      </c>
      <c r="C14" s="97" t="str">
        <f t="shared" ref="C14:C44" si="0">TEXT(B14, "dddd")</f>
        <v>viernes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9"/>
      <c r="Q14" s="23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43953</v>
      </c>
      <c r="C15" s="106" t="str">
        <f t="shared" si="0"/>
        <v>sábado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1"/>
      <c r="Q15" s="232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43954</v>
      </c>
      <c r="C16" s="106" t="str">
        <f t="shared" si="0"/>
        <v>domingo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1"/>
      <c r="Q16" s="232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43955</v>
      </c>
      <c r="C17" s="106" t="str">
        <f t="shared" si="0"/>
        <v>lunes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1"/>
      <c r="Q17" s="232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43956</v>
      </c>
      <c r="C18" s="106" t="str">
        <f t="shared" si="0"/>
        <v>martes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1"/>
      <c r="Q18" s="232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43957</v>
      </c>
      <c r="C19" s="106" t="str">
        <f t="shared" si="0"/>
        <v>miércoles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1"/>
      <c r="Q19" s="232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43958</v>
      </c>
      <c r="C20" s="106" t="str">
        <f t="shared" si="0"/>
        <v>jueves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1"/>
      <c r="Q20" s="232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43959</v>
      </c>
      <c r="C21" s="106" t="str">
        <f t="shared" si="0"/>
        <v>viernes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1"/>
      <c r="Q21" s="232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43960</v>
      </c>
      <c r="C22" s="106" t="str">
        <f t="shared" si="0"/>
        <v>sábado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1"/>
      <c r="Q22" s="232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43961</v>
      </c>
      <c r="C23" s="106" t="str">
        <f t="shared" si="0"/>
        <v>domingo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1"/>
      <c r="Q23" s="232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43962</v>
      </c>
      <c r="C24" s="106" t="str">
        <f t="shared" si="0"/>
        <v>lunes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1"/>
      <c r="Q24" s="232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43963</v>
      </c>
      <c r="C25" s="106" t="str">
        <f t="shared" si="0"/>
        <v>martes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1"/>
      <c r="Q25" s="232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43964</v>
      </c>
      <c r="C26" s="106" t="str">
        <f t="shared" si="0"/>
        <v>miércoles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1"/>
      <c r="Q26" s="232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43965</v>
      </c>
      <c r="C27" s="106" t="str">
        <f t="shared" si="0"/>
        <v>jueves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1"/>
      <c r="Q27" s="232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43966</v>
      </c>
      <c r="C28" s="106" t="str">
        <f t="shared" si="0"/>
        <v>viernes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1"/>
      <c r="Q28" s="232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43967</v>
      </c>
      <c r="C29" s="106" t="str">
        <f t="shared" si="0"/>
        <v>sábado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1"/>
      <c r="Q29" s="232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43968</v>
      </c>
      <c r="C30" s="106" t="str">
        <f t="shared" si="0"/>
        <v>domingo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1"/>
      <c r="Q30" s="232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43969</v>
      </c>
      <c r="C31" s="106" t="str">
        <f t="shared" si="0"/>
        <v>lunes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1"/>
      <c r="Q31" s="232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43970</v>
      </c>
      <c r="C32" s="106" t="str">
        <f t="shared" si="0"/>
        <v>martes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1"/>
      <c r="Q32" s="232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43971</v>
      </c>
      <c r="C33" s="106" t="str">
        <f t="shared" si="0"/>
        <v>miércoles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1"/>
      <c r="Q33" s="232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43972</v>
      </c>
      <c r="C34" s="106" t="str">
        <f t="shared" si="0"/>
        <v>jueves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1"/>
      <c r="Q34" s="232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43973</v>
      </c>
      <c r="C35" s="106" t="str">
        <f t="shared" si="0"/>
        <v>viernes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1"/>
      <c r="Q35" s="232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43974</v>
      </c>
      <c r="C36" s="106" t="str">
        <f t="shared" si="0"/>
        <v>sábado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1"/>
      <c r="Q36" s="232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43975</v>
      </c>
      <c r="C37" s="106" t="str">
        <f t="shared" si="0"/>
        <v>domingo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1"/>
      <c r="Q37" s="232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43976</v>
      </c>
      <c r="C38" s="106" t="str">
        <f t="shared" si="0"/>
        <v>lunes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1"/>
      <c r="Q38" s="232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43977</v>
      </c>
      <c r="C39" s="106" t="str">
        <f t="shared" si="0"/>
        <v>martes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1"/>
      <c r="Q39" s="232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43978</v>
      </c>
      <c r="C40" s="106" t="str">
        <f t="shared" si="0"/>
        <v>miércoles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1"/>
      <c r="Q40" s="232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43979</v>
      </c>
      <c r="C41" s="106" t="str">
        <f t="shared" si="0"/>
        <v>jueves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1"/>
      <c r="Q41" s="232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43980</v>
      </c>
      <c r="C42" s="106" t="str">
        <f t="shared" si="0"/>
        <v>viernes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1"/>
      <c r="Q42" s="232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43981</v>
      </c>
      <c r="C43" s="106" t="str">
        <f t="shared" si="0"/>
        <v>sábado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1"/>
      <c r="Q43" s="232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43982</v>
      </c>
      <c r="C44" s="114" t="str">
        <f t="shared" si="0"/>
        <v>domingo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15" t="s">
        <v>32</v>
      </c>
      <c r="C48" s="216"/>
      <c r="D48" s="216" t="s">
        <v>33</v>
      </c>
      <c r="E48" s="216"/>
      <c r="F48" s="217" t="s">
        <v>2</v>
      </c>
      <c r="G48" s="217" t="s">
        <v>176</v>
      </c>
      <c r="H48" s="217" t="s">
        <v>3</v>
      </c>
      <c r="I48" s="217" t="s">
        <v>4</v>
      </c>
      <c r="J48" s="217" t="s">
        <v>34</v>
      </c>
      <c r="K48" s="217" t="s">
        <v>35</v>
      </c>
      <c r="L48" s="217" t="s">
        <v>36</v>
      </c>
      <c r="M48" s="217" t="s">
        <v>37</v>
      </c>
      <c r="N48" s="217" t="s">
        <v>38</v>
      </c>
      <c r="O48" s="233" t="s">
        <v>5</v>
      </c>
      <c r="P48" s="225" t="s">
        <v>39</v>
      </c>
      <c r="Q48" s="226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18"/>
      <c r="G49" s="218"/>
      <c r="H49" s="218"/>
      <c r="I49" s="218"/>
      <c r="J49" s="218"/>
      <c r="K49" s="218"/>
      <c r="L49" s="218"/>
      <c r="M49" s="218"/>
      <c r="N49" s="218"/>
      <c r="O49" s="234"/>
      <c r="P49" s="227"/>
      <c r="Q49" s="22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3"/>
      <c r="Q50" s="24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5"/>
      <c r="Q51" s="24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5"/>
      <c r="Q52" s="24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5"/>
      <c r="Q53" s="24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7"/>
      <c r="Q54" s="24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6" t="s">
        <v>12</v>
      </c>
      <c r="C56" s="257"/>
      <c r="D56" s="257"/>
      <c r="E56" s="257"/>
      <c r="F56" s="257"/>
      <c r="G56" s="258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9" t="s">
        <v>46</v>
      </c>
      <c r="C58" s="260"/>
      <c r="D58" s="260"/>
      <c r="E58" s="260"/>
      <c r="F58" s="261"/>
      <c r="H58" s="262" t="s">
        <v>47</v>
      </c>
      <c r="I58" s="263"/>
      <c r="J58" s="263"/>
      <c r="K58" s="263"/>
      <c r="L58" s="263"/>
      <c r="M58" s="263"/>
      <c r="N58" s="263"/>
      <c r="O58" s="263"/>
      <c r="P58" s="263"/>
      <c r="Q58" s="264"/>
      <c r="R58" s="5"/>
      <c r="S58" s="5"/>
      <c r="U58" s="1"/>
      <c r="V58" s="1"/>
    </row>
    <row r="59" spans="1:22" s="13" customFormat="1" ht="22.5" customHeight="1" thickBot="1" x14ac:dyDescent="0.3">
      <c r="B59" s="268" t="s">
        <v>48</v>
      </c>
      <c r="C59" s="269"/>
      <c r="D59" s="164" t="s">
        <v>49</v>
      </c>
      <c r="E59" s="164" t="s">
        <v>50</v>
      </c>
      <c r="F59" s="14" t="s">
        <v>51</v>
      </c>
      <c r="H59" s="265"/>
      <c r="I59" s="266"/>
      <c r="J59" s="266"/>
      <c r="K59" s="266"/>
      <c r="L59" s="266"/>
      <c r="M59" s="266"/>
      <c r="N59" s="266"/>
      <c r="O59" s="266"/>
      <c r="P59" s="266"/>
      <c r="Q59" s="267"/>
    </row>
    <row r="60" spans="1:22" ht="17.25" customHeight="1" x14ac:dyDescent="0.25">
      <c r="A60" s="1"/>
      <c r="B60" s="270" t="str">
        <f>+H12</f>
        <v xml:space="preserve"> EXT. DIURNA 1.25</v>
      </c>
      <c r="C60" s="271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2"/>
      <c r="I60" s="273"/>
      <c r="J60" s="273"/>
      <c r="K60" s="273"/>
      <c r="L60" s="273"/>
      <c r="M60" s="273"/>
      <c r="N60" s="273"/>
      <c r="O60" s="273"/>
      <c r="P60" s="273"/>
      <c r="Q60" s="274"/>
      <c r="R60" s="1"/>
      <c r="S60" s="1"/>
      <c r="T60" s="1"/>
      <c r="U60" s="1"/>
      <c r="V60" s="1"/>
    </row>
    <row r="61" spans="1:22" ht="17.25" customHeight="1" x14ac:dyDescent="0.25">
      <c r="A61" s="1"/>
      <c r="B61" s="250" t="str">
        <f>+I12</f>
        <v>EXT. NOC. ORD. 1.75</v>
      </c>
      <c r="C61" s="251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5"/>
      <c r="I61" s="276"/>
      <c r="J61" s="276"/>
      <c r="K61" s="276"/>
      <c r="L61" s="276"/>
      <c r="M61" s="276"/>
      <c r="N61" s="276"/>
      <c r="O61" s="276"/>
      <c r="P61" s="276"/>
      <c r="Q61" s="277"/>
      <c r="R61" s="1"/>
      <c r="S61" s="1"/>
      <c r="T61" s="1"/>
      <c r="U61" s="1"/>
      <c r="V61" s="1"/>
    </row>
    <row r="62" spans="1:22" ht="17.25" customHeight="1" x14ac:dyDescent="0.25">
      <c r="A62" s="1"/>
      <c r="B62" s="250" t="str">
        <f>+J12</f>
        <v>EXTRA DOM./FES. DIU.2.00</v>
      </c>
      <c r="C62" s="251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5"/>
      <c r="I62" s="276"/>
      <c r="J62" s="276"/>
      <c r="K62" s="276"/>
      <c r="L62" s="276"/>
      <c r="M62" s="276"/>
      <c r="N62" s="276"/>
      <c r="O62" s="276"/>
      <c r="P62" s="276"/>
      <c r="Q62" s="277"/>
      <c r="R62" s="1"/>
      <c r="S62" s="1"/>
      <c r="T62" s="1"/>
      <c r="U62" s="1"/>
      <c r="V62" s="1"/>
    </row>
    <row r="63" spans="1:22" ht="17.25" customHeight="1" x14ac:dyDescent="0.25">
      <c r="A63" s="1"/>
      <c r="B63" s="250" t="str">
        <f>+K12</f>
        <v>EXTRA DOM./FES.  NOC. 2.50</v>
      </c>
      <c r="C63" s="251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5"/>
      <c r="I63" s="276"/>
      <c r="J63" s="276"/>
      <c r="K63" s="276"/>
      <c r="L63" s="276"/>
      <c r="M63" s="276"/>
      <c r="N63" s="276"/>
      <c r="O63" s="276"/>
      <c r="P63" s="276"/>
      <c r="Q63" s="277"/>
      <c r="R63" s="1"/>
      <c r="S63" s="1"/>
      <c r="T63" s="1"/>
      <c r="U63" s="1"/>
      <c r="V63" s="1"/>
    </row>
    <row r="64" spans="1:22" ht="17.25" customHeight="1" x14ac:dyDescent="0.25">
      <c r="A64" s="1"/>
      <c r="B64" s="250" t="str">
        <f>+L12</f>
        <v>REC. NOCT ORD.              0.35</v>
      </c>
      <c r="C64" s="251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5"/>
      <c r="I64" s="276"/>
      <c r="J64" s="276"/>
      <c r="K64" s="276"/>
      <c r="L64" s="276"/>
      <c r="M64" s="276"/>
      <c r="N64" s="276"/>
      <c r="O64" s="276"/>
      <c r="P64" s="276"/>
      <c r="Q64" s="277"/>
      <c r="R64" s="1"/>
      <c r="S64" s="1"/>
      <c r="T64" s="1"/>
      <c r="U64" s="1"/>
      <c r="V64" s="1"/>
    </row>
    <row r="65" spans="1:22" ht="17.25" customHeight="1" x14ac:dyDescent="0.25">
      <c r="A65" s="1"/>
      <c r="B65" s="250" t="str">
        <f>+M12</f>
        <v xml:space="preserve">REC, DOM / FESTIVA DIU 1.75 </v>
      </c>
      <c r="C65" s="251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5"/>
      <c r="I65" s="276"/>
      <c r="J65" s="276"/>
      <c r="K65" s="276"/>
      <c r="L65" s="276"/>
      <c r="M65" s="276"/>
      <c r="N65" s="276"/>
      <c r="O65" s="276"/>
      <c r="P65" s="276"/>
      <c r="Q65" s="277"/>
      <c r="R65" s="1"/>
      <c r="S65" s="1"/>
      <c r="T65" s="1"/>
      <c r="U65" s="1"/>
      <c r="V65" s="1"/>
    </row>
    <row r="66" spans="1:22" ht="17.25" customHeight="1" x14ac:dyDescent="0.25">
      <c r="A66" s="1"/>
      <c r="B66" s="250" t="str">
        <f>+N12</f>
        <v>REC. DOM. / FES. NOC.  2.10</v>
      </c>
      <c r="C66" s="251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5"/>
      <c r="I66" s="276"/>
      <c r="J66" s="276"/>
      <c r="K66" s="276"/>
      <c r="L66" s="276"/>
      <c r="M66" s="276"/>
      <c r="N66" s="276"/>
      <c r="O66" s="276"/>
      <c r="P66" s="276"/>
      <c r="Q66" s="277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2" t="str">
        <f>+O12</f>
        <v>COMPENSATORIOS</v>
      </c>
      <c r="C67" s="253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5"/>
      <c r="I67" s="276"/>
      <c r="J67" s="276"/>
      <c r="K67" s="276"/>
      <c r="L67" s="276"/>
      <c r="M67" s="276"/>
      <c r="N67" s="276"/>
      <c r="O67" s="276"/>
      <c r="P67" s="276"/>
      <c r="Q67" s="277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5"/>
      <c r="I68" s="276"/>
      <c r="J68" s="276"/>
      <c r="K68" s="276"/>
      <c r="L68" s="276"/>
      <c r="M68" s="276"/>
      <c r="N68" s="276"/>
      <c r="O68" s="276"/>
      <c r="P68" s="276"/>
      <c r="Q68" s="277"/>
      <c r="R68" s="1"/>
      <c r="S68" s="1"/>
      <c r="T68" s="1"/>
      <c r="U68" s="1"/>
      <c r="V68" s="1"/>
    </row>
    <row r="69" spans="1:22" ht="18" customHeight="1" thickBot="1" x14ac:dyDescent="0.3">
      <c r="A69" s="1"/>
      <c r="B69" s="254" t="s">
        <v>53</v>
      </c>
      <c r="C69" s="254"/>
      <c r="D69" s="254"/>
      <c r="E69" s="254"/>
      <c r="F69" s="95">
        <f>SUM(F60:F67)</f>
        <v>0</v>
      </c>
      <c r="G69" s="1"/>
      <c r="H69" s="278"/>
      <c r="I69" s="279"/>
      <c r="J69" s="279"/>
      <c r="K69" s="279"/>
      <c r="L69" s="279"/>
      <c r="M69" s="279"/>
      <c r="N69" s="279"/>
      <c r="O69" s="279"/>
      <c r="P69" s="279"/>
      <c r="Q69" s="280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5"/>
      <c r="D76" s="255"/>
      <c r="E76" s="255"/>
      <c r="F76" s="255"/>
      <c r="G76" s="255"/>
      <c r="H76" s="255"/>
      <c r="I76" s="255"/>
      <c r="L76" s="255"/>
      <c r="M76" s="255"/>
      <c r="N76" s="255"/>
      <c r="O76" s="255"/>
      <c r="P76" s="255"/>
    </row>
    <row r="77" spans="1:22" ht="30.75" customHeight="1" thickTop="1" x14ac:dyDescent="0.25">
      <c r="C77" s="249" t="s">
        <v>54</v>
      </c>
      <c r="D77" s="249"/>
      <c r="E77" s="249"/>
      <c r="F77" s="249"/>
      <c r="G77" s="249"/>
      <c r="H77" s="249"/>
      <c r="I77" s="249"/>
      <c r="J77" s="16"/>
      <c r="K77" s="16"/>
      <c r="L77" s="249" t="s">
        <v>55</v>
      </c>
      <c r="M77" s="249"/>
      <c r="N77" s="249"/>
      <c r="O77" s="249"/>
      <c r="P77" s="249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K15" sqref="K15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J1" s="41">
        <v>1</v>
      </c>
      <c r="K1" t="s">
        <v>272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274</v>
      </c>
      <c r="K2" s="180" t="s">
        <v>287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275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276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277</v>
      </c>
      <c r="K5">
        <v>2021</v>
      </c>
      <c r="L5" s="33" t="s">
        <v>96</v>
      </c>
      <c r="M5" s="34" t="s">
        <v>94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278</v>
      </c>
      <c r="K6">
        <v>2022</v>
      </c>
      <c r="L6" s="33" t="s">
        <v>94</v>
      </c>
      <c r="M6" s="34" t="s">
        <v>96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279</v>
      </c>
      <c r="K7">
        <v>2023</v>
      </c>
      <c r="L7" s="33" t="s">
        <v>96</v>
      </c>
      <c r="M7" s="34" t="s">
        <v>169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280</v>
      </c>
      <c r="K8">
        <v>2024</v>
      </c>
      <c r="L8" s="33" t="s">
        <v>273</v>
      </c>
      <c r="M8" s="34"/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281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282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283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284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285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286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/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3" t="s">
        <v>143</v>
      </c>
      <c r="B5" s="293"/>
      <c r="C5" s="293"/>
      <c r="D5" s="294" t="str">
        <f>Plantilla!K11</f>
        <v>MAYO</v>
      </c>
      <c r="E5" s="294"/>
      <c r="F5" s="286" t="s">
        <v>144</v>
      </c>
      <c r="G5" s="287"/>
      <c r="H5" s="287"/>
      <c r="I5" s="287"/>
      <c r="J5" s="287"/>
      <c r="K5" s="287"/>
      <c r="L5" s="287"/>
      <c r="M5" s="287"/>
      <c r="N5" s="287"/>
      <c r="O5" s="288"/>
      <c r="P5" s="286" t="s">
        <v>168</v>
      </c>
      <c r="Q5" s="288"/>
      <c r="R5" s="286"/>
      <c r="S5" s="288"/>
    </row>
    <row r="6" spans="1:21" s="47" customFormat="1" ht="29.25" customHeight="1" x14ac:dyDescent="0.25">
      <c r="A6" s="289" t="s">
        <v>145</v>
      </c>
      <c r="B6" s="289" t="s">
        <v>146</v>
      </c>
      <c r="C6" s="289" t="s">
        <v>147</v>
      </c>
      <c r="D6" s="295" t="s">
        <v>148</v>
      </c>
      <c r="E6" s="295" t="s">
        <v>67</v>
      </c>
      <c r="F6" s="289" t="s">
        <v>0</v>
      </c>
      <c r="G6" s="284" t="s">
        <v>3</v>
      </c>
      <c r="H6" s="284" t="s">
        <v>4</v>
      </c>
      <c r="I6" s="284" t="s">
        <v>34</v>
      </c>
      <c r="J6" s="284" t="s">
        <v>35</v>
      </c>
      <c r="K6" s="284" t="s">
        <v>36</v>
      </c>
      <c r="L6" s="284" t="s">
        <v>37</v>
      </c>
      <c r="M6" s="284" t="s">
        <v>38</v>
      </c>
      <c r="N6" s="284" t="s">
        <v>5</v>
      </c>
      <c r="O6" s="290" t="s">
        <v>149</v>
      </c>
      <c r="P6" s="291"/>
      <c r="Q6" s="291"/>
      <c r="R6" s="292"/>
      <c r="S6" s="283" t="s">
        <v>47</v>
      </c>
    </row>
    <row r="7" spans="1:21" s="47" customFormat="1" ht="78.75" customHeight="1" x14ac:dyDescent="0.25">
      <c r="A7" s="289"/>
      <c r="B7" s="289"/>
      <c r="C7" s="289"/>
      <c r="D7" s="289"/>
      <c r="E7" s="289"/>
      <c r="F7" s="289"/>
      <c r="G7" s="285"/>
      <c r="H7" s="285"/>
      <c r="I7" s="285"/>
      <c r="J7" s="285"/>
      <c r="K7" s="285"/>
      <c r="L7" s="285"/>
      <c r="M7" s="285"/>
      <c r="N7" s="285"/>
      <c r="O7" s="48" t="s">
        <v>150</v>
      </c>
      <c r="P7" s="48" t="s">
        <v>151</v>
      </c>
      <c r="Q7" s="48" t="s">
        <v>152</v>
      </c>
      <c r="R7" s="48" t="s">
        <v>153</v>
      </c>
      <c r="S7" s="283"/>
    </row>
    <row r="8" spans="1:21" s="50" customFormat="1" ht="31.5" customHeight="1" x14ac:dyDescent="0.25">
      <c r="A8" s="289"/>
      <c r="B8" s="289"/>
      <c r="C8" s="289"/>
      <c r="D8" s="289"/>
      <c r="E8" s="289"/>
      <c r="F8" s="289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3"/>
    </row>
    <row r="9" spans="1:21" ht="36" customHeight="1" x14ac:dyDescent="0.25">
      <c r="A9" s="135">
        <v>1</v>
      </c>
      <c r="B9" s="136"/>
      <c r="C9" s="137" t="str">
        <f>IF(B9="","",VLOOKUP(B9,'BD Personal'!$A$6:$R$64,3,FALSE))&amp;" "&amp;IF(B9="","",VLOOKUP(B9,'BD Personal'!$A$6:$R$64,4,FALSE))</f>
        <v xml:space="preserve"> </v>
      </c>
      <c r="D9" s="137" t="str">
        <f>IF(B9="","",VLOOKUP(B9,'BD Personal'!$A$6:$R$64,17,FALSE))</f>
        <v/>
      </c>
      <c r="E9" s="137" t="str">
        <f>IF(B9="","",VLOOKUP(B9,'BD Personal'!$A$6:$R$64,18,FALSE))</f>
        <v/>
      </c>
      <c r="F9" s="137" t="str">
        <f>IF(B9="","",VLOOKUP(B9,'BD Personal'!$A$6:$R$64,11,FALSE))</f>
        <v/>
      </c>
      <c r="G9" s="138" t="str">
        <f ca="1">IF(B9="","",INDIRECT("'"&amp;VLOOKUP(B9,'BD Personal'!$A$6:$R$64,4,FALSE)&amp;"'!H56"))</f>
        <v/>
      </c>
      <c r="H9" s="138" t="str">
        <f ca="1">IF(B9="","",INDIRECT("'"&amp;VLOOKUP(B9,'BD Personal'!$A$6:$R$64,4,FALSE)&amp;"'!I56"))</f>
        <v/>
      </c>
      <c r="I9" s="138" t="str">
        <f ca="1">IF(B9="","",INDIRECT("'"&amp;VLOOKUP(B9,'BD Personal'!$A$6:$R$64,4,FALSE)&amp;"'!J56"))</f>
        <v/>
      </c>
      <c r="J9" s="138" t="str">
        <f ca="1">IF(B9="","",INDIRECT("'"&amp;VLOOKUP(B9,'BD Personal'!$A$6:$R$64,4,FALSE)&amp;"'!K56"))</f>
        <v/>
      </c>
      <c r="K9" s="138" t="str">
        <f ca="1">IF(B9="","",INDIRECT("'"&amp;VLOOKUP(B9,'BD Personal'!$A$6:$R$64,4,FALSE)&amp;"'!L56"))</f>
        <v/>
      </c>
      <c r="L9" s="138" t="str">
        <f ca="1">IF(B9="","",INDIRECT("'"&amp;VLOOKUP(B9,'BD Personal'!$A$6:$R$64,4,FALSE)&amp;"'!M56"))</f>
        <v/>
      </c>
      <c r="M9" s="138" t="str">
        <f ca="1">IF(B9="","",INDIRECT("'"&amp;VLOOKUP(B9,'BD Personal'!$A$6:$R$64,4,FALSE)&amp;"'!N56"))</f>
        <v/>
      </c>
      <c r="N9" s="138" t="str">
        <f ca="1">IF(B9="","",INDIRECT("'"&amp;VLOOKUP(B9,'BD Personal'!$A$6:$R$64,4,FALSE)&amp;"'!O56"))</f>
        <v/>
      </c>
      <c r="O9" s="139"/>
      <c r="P9" s="139"/>
      <c r="Q9" s="139"/>
      <c r="R9" s="139"/>
      <c r="S9" s="138" t="str">
        <f ca="1">IF(B9="","",INDIRECT("'"&amp;VLOOKUP(B9,'BD Personal'!$A$6:$R$91,4,FALSE)&amp;"'!H60"))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F8" sqref="F8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4"/>
      <c r="C1" s="315"/>
      <c r="D1" s="315"/>
      <c r="E1" s="315"/>
      <c r="F1" s="302" t="s">
        <v>15</v>
      </c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  <c r="AI1" s="302"/>
      <c r="AJ1" s="305"/>
      <c r="AK1" s="20"/>
    </row>
    <row r="2" spans="2:40" ht="15" customHeight="1" x14ac:dyDescent="0.25">
      <c r="B2" s="316"/>
      <c r="C2" s="317"/>
      <c r="D2" s="317"/>
      <c r="E2" s="317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3"/>
      <c r="AJ2" s="306"/>
      <c r="AK2" s="21"/>
    </row>
    <row r="3" spans="2:40" ht="15" customHeight="1" x14ac:dyDescent="0.25">
      <c r="B3" s="316"/>
      <c r="C3" s="317"/>
      <c r="D3" s="317"/>
      <c r="E3" s="317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  <c r="W3" s="303"/>
      <c r="X3" s="303"/>
      <c r="Y3" s="303"/>
      <c r="Z3" s="303"/>
      <c r="AA3" s="303"/>
      <c r="AB3" s="303"/>
      <c r="AC3" s="303"/>
      <c r="AD3" s="303"/>
      <c r="AE3" s="303"/>
      <c r="AF3" s="303"/>
      <c r="AG3" s="303"/>
      <c r="AH3" s="303"/>
      <c r="AI3" s="303"/>
      <c r="AJ3" s="306"/>
      <c r="AK3" s="21"/>
    </row>
    <row r="4" spans="2:40" ht="15" customHeight="1" x14ac:dyDescent="0.25">
      <c r="B4" s="316"/>
      <c r="C4" s="317"/>
      <c r="D4" s="317"/>
      <c r="E4" s="317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6"/>
      <c r="AK4" s="21"/>
    </row>
    <row r="5" spans="2:40" ht="19.5" customHeight="1" thickBot="1" x14ac:dyDescent="0.3">
      <c r="B5" s="318"/>
      <c r="C5" s="319"/>
      <c r="D5" s="319"/>
      <c r="E5" s="319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304"/>
      <c r="Z5" s="304"/>
      <c r="AA5" s="304"/>
      <c r="AB5" s="304"/>
      <c r="AC5" s="304"/>
      <c r="AD5" s="304"/>
      <c r="AE5" s="304"/>
      <c r="AF5" s="304"/>
      <c r="AG5" s="304"/>
      <c r="AH5" s="304"/>
      <c r="AI5" s="304"/>
      <c r="AJ5" s="307"/>
      <c r="AK5" s="22"/>
    </row>
    <row r="6" spans="2:40" ht="15" customHeight="1" x14ac:dyDescent="0.25">
      <c r="B6" s="308" t="s">
        <v>279</v>
      </c>
      <c r="C6" s="309"/>
      <c r="D6" s="309"/>
      <c r="E6" s="312">
        <v>2020</v>
      </c>
      <c r="F6" s="296" t="str">
        <f>TEXT(F8,"ddd")</f>
        <v>vie</v>
      </c>
      <c r="G6" s="296" t="str">
        <f t="shared" ref="G6:AJ6" si="0">TEXT(G8,"ddd")</f>
        <v>sáb</v>
      </c>
      <c r="H6" s="296" t="str">
        <f t="shared" si="0"/>
        <v>dom</v>
      </c>
      <c r="I6" s="296" t="str">
        <f t="shared" si="0"/>
        <v>lun</v>
      </c>
      <c r="J6" s="296" t="str">
        <f t="shared" si="0"/>
        <v>mar</v>
      </c>
      <c r="K6" s="296" t="str">
        <f t="shared" si="0"/>
        <v>mié</v>
      </c>
      <c r="L6" s="296" t="str">
        <f t="shared" si="0"/>
        <v>jue</v>
      </c>
      <c r="M6" s="296" t="str">
        <f t="shared" si="0"/>
        <v>vie</v>
      </c>
      <c r="N6" s="296" t="str">
        <f t="shared" si="0"/>
        <v>sáb</v>
      </c>
      <c r="O6" s="296" t="str">
        <f t="shared" si="0"/>
        <v>dom</v>
      </c>
      <c r="P6" s="296" t="str">
        <f t="shared" si="0"/>
        <v>lun</v>
      </c>
      <c r="Q6" s="296" t="str">
        <f t="shared" si="0"/>
        <v>mar</v>
      </c>
      <c r="R6" s="296" t="str">
        <f t="shared" si="0"/>
        <v>mié</v>
      </c>
      <c r="S6" s="296" t="str">
        <f t="shared" si="0"/>
        <v>jue</v>
      </c>
      <c r="T6" s="296" t="str">
        <f t="shared" si="0"/>
        <v>vie</v>
      </c>
      <c r="U6" s="296" t="str">
        <f t="shared" si="0"/>
        <v>sáb</v>
      </c>
      <c r="V6" s="296" t="str">
        <f t="shared" si="0"/>
        <v>dom</v>
      </c>
      <c r="W6" s="296" t="str">
        <f t="shared" si="0"/>
        <v>lun</v>
      </c>
      <c r="X6" s="296" t="str">
        <f t="shared" si="0"/>
        <v>mar</v>
      </c>
      <c r="Y6" s="296" t="str">
        <f t="shared" si="0"/>
        <v>mié</v>
      </c>
      <c r="Z6" s="296" t="str">
        <f t="shared" si="0"/>
        <v>jue</v>
      </c>
      <c r="AA6" s="296" t="str">
        <f t="shared" si="0"/>
        <v>vie</v>
      </c>
      <c r="AB6" s="296" t="str">
        <f t="shared" si="0"/>
        <v>sáb</v>
      </c>
      <c r="AC6" s="296" t="str">
        <f t="shared" si="0"/>
        <v>dom</v>
      </c>
      <c r="AD6" s="296" t="str">
        <f t="shared" si="0"/>
        <v>lun</v>
      </c>
      <c r="AE6" s="296" t="str">
        <f t="shared" si="0"/>
        <v>mar</v>
      </c>
      <c r="AF6" s="296" t="str">
        <f t="shared" si="0"/>
        <v>mié</v>
      </c>
      <c r="AG6" s="296" t="str">
        <f t="shared" si="0"/>
        <v>jue</v>
      </c>
      <c r="AH6" s="296" t="str">
        <f t="shared" si="0"/>
        <v>vie</v>
      </c>
      <c r="AI6" s="296" t="str">
        <f t="shared" si="0"/>
        <v>sáb</v>
      </c>
      <c r="AJ6" s="320" t="str">
        <f t="shared" si="0"/>
        <v>dom</v>
      </c>
      <c r="AK6" s="182"/>
      <c r="AL6" s="326"/>
    </row>
    <row r="7" spans="2:40" ht="15" customHeight="1" x14ac:dyDescent="0.25">
      <c r="B7" s="310"/>
      <c r="C7" s="311"/>
      <c r="D7" s="311"/>
      <c r="E7" s="313"/>
      <c r="F7" s="297"/>
      <c r="G7" s="297"/>
      <c r="H7" s="297"/>
      <c r="I7" s="297"/>
      <c r="J7" s="297"/>
      <c r="K7" s="297"/>
      <c r="L7" s="297"/>
      <c r="M7" s="297"/>
      <c r="N7" s="297"/>
      <c r="O7" s="297"/>
      <c r="P7" s="297"/>
      <c r="Q7" s="297"/>
      <c r="R7" s="297"/>
      <c r="S7" s="297"/>
      <c r="T7" s="297"/>
      <c r="U7" s="297"/>
      <c r="V7" s="297"/>
      <c r="W7" s="297"/>
      <c r="X7" s="297"/>
      <c r="Y7" s="297"/>
      <c r="Z7" s="297"/>
      <c r="AA7" s="297"/>
      <c r="AB7" s="297"/>
      <c r="AC7" s="297"/>
      <c r="AD7" s="297"/>
      <c r="AE7" s="297"/>
      <c r="AF7" s="297"/>
      <c r="AG7" s="297"/>
      <c r="AH7" s="297"/>
      <c r="AI7" s="297"/>
      <c r="AJ7" s="321"/>
      <c r="AK7" s="182"/>
      <c r="AL7" s="326"/>
    </row>
    <row r="8" spans="2:40" ht="22.5" customHeight="1" thickBot="1" x14ac:dyDescent="0.3">
      <c r="B8" s="331" t="s">
        <v>1</v>
      </c>
      <c r="C8" s="332"/>
      <c r="D8" s="332"/>
      <c r="E8" s="333"/>
      <c r="F8" s="181">
        <f>DATE(E6,_xlfn.IFS(B6="ENERO",1,B6="FEBRERO",2,B6="MARZO",3,B6="ABRIL",4,B6="MAYO",5,B6="JUNIO",6,B6="JULIO",7,B6="AGOSTO",8,B6="SEPTIEMBRE",9,B6="OCTUBRE",10,B6="NOVIEMBRE",11,B6="DICIEMBRE",12),1)</f>
        <v>43952</v>
      </c>
      <c r="G8" s="181">
        <f>F8+1</f>
        <v>43953</v>
      </c>
      <c r="H8" s="181">
        <f t="shared" ref="H8:AK8" si="1">G8+1</f>
        <v>43954</v>
      </c>
      <c r="I8" s="181">
        <f t="shared" si="1"/>
        <v>43955</v>
      </c>
      <c r="J8" s="181">
        <f t="shared" si="1"/>
        <v>43956</v>
      </c>
      <c r="K8" s="181">
        <f t="shared" si="1"/>
        <v>43957</v>
      </c>
      <c r="L8" s="181">
        <f t="shared" si="1"/>
        <v>43958</v>
      </c>
      <c r="M8" s="181">
        <f t="shared" si="1"/>
        <v>43959</v>
      </c>
      <c r="N8" s="181">
        <f t="shared" si="1"/>
        <v>43960</v>
      </c>
      <c r="O8" s="181">
        <f t="shared" si="1"/>
        <v>43961</v>
      </c>
      <c r="P8" s="181">
        <f t="shared" si="1"/>
        <v>43962</v>
      </c>
      <c r="Q8" s="181">
        <f t="shared" si="1"/>
        <v>43963</v>
      </c>
      <c r="R8" s="181">
        <f t="shared" si="1"/>
        <v>43964</v>
      </c>
      <c r="S8" s="181">
        <f t="shared" si="1"/>
        <v>43965</v>
      </c>
      <c r="T8" s="181">
        <f t="shared" si="1"/>
        <v>43966</v>
      </c>
      <c r="U8" s="181">
        <f t="shared" si="1"/>
        <v>43967</v>
      </c>
      <c r="V8" s="181">
        <f t="shared" si="1"/>
        <v>43968</v>
      </c>
      <c r="W8" s="181">
        <f t="shared" si="1"/>
        <v>43969</v>
      </c>
      <c r="X8" s="181">
        <f t="shared" si="1"/>
        <v>43970</v>
      </c>
      <c r="Y8" s="181">
        <f t="shared" si="1"/>
        <v>43971</v>
      </c>
      <c r="Z8" s="181">
        <f t="shared" si="1"/>
        <v>43972</v>
      </c>
      <c r="AA8" s="181">
        <f t="shared" si="1"/>
        <v>43973</v>
      </c>
      <c r="AB8" s="181">
        <f t="shared" si="1"/>
        <v>43974</v>
      </c>
      <c r="AC8" s="181">
        <f t="shared" si="1"/>
        <v>43975</v>
      </c>
      <c r="AD8" s="181">
        <f t="shared" si="1"/>
        <v>43976</v>
      </c>
      <c r="AE8" s="181">
        <f t="shared" si="1"/>
        <v>43977</v>
      </c>
      <c r="AF8" s="181">
        <f t="shared" si="1"/>
        <v>43978</v>
      </c>
      <c r="AG8" s="181">
        <f t="shared" si="1"/>
        <v>43979</v>
      </c>
      <c r="AH8" s="181">
        <f t="shared" si="1"/>
        <v>43980</v>
      </c>
      <c r="AI8" s="181">
        <f t="shared" si="1"/>
        <v>43981</v>
      </c>
      <c r="AJ8" s="183">
        <f t="shared" si="1"/>
        <v>43982</v>
      </c>
      <c r="AK8" s="184">
        <f t="shared" si="1"/>
        <v>43983</v>
      </c>
      <c r="AL8" s="326"/>
      <c r="AM8" t="s">
        <v>1</v>
      </c>
    </row>
    <row r="9" spans="2:40" ht="21.95" customHeight="1" x14ac:dyDescent="0.25">
      <c r="B9" s="324"/>
      <c r="C9" s="325"/>
      <c r="D9" s="322"/>
      <c r="E9" s="323"/>
      <c r="F9" s="150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N9" t="s">
        <v>89</v>
      </c>
    </row>
    <row r="10" spans="2:40" ht="21.95" customHeight="1" x14ac:dyDescent="0.25">
      <c r="B10" s="298"/>
      <c r="C10" s="299"/>
      <c r="D10" s="300"/>
      <c r="E10" s="301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89</v>
      </c>
    </row>
    <row r="11" spans="2:40" ht="21.95" customHeight="1" x14ac:dyDescent="0.25">
      <c r="B11" s="298"/>
      <c r="C11" s="299"/>
      <c r="D11" s="300"/>
      <c r="E11" s="301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298"/>
      <c r="C12" s="299"/>
      <c r="D12" s="300"/>
      <c r="E12" s="301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298"/>
      <c r="C13" s="299"/>
      <c r="D13" s="300"/>
      <c r="E13" s="301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298"/>
      <c r="C14" s="299"/>
      <c r="D14" s="300"/>
      <c r="E14" s="301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298"/>
      <c r="C15" s="299"/>
      <c r="D15" s="300"/>
      <c r="E15" s="301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298"/>
      <c r="C16" s="299"/>
      <c r="D16" s="300"/>
      <c r="E16" s="301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298"/>
      <c r="C17" s="299"/>
      <c r="D17" s="300"/>
      <c r="E17" s="301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298"/>
      <c r="C18" s="299"/>
      <c r="D18" s="300"/>
      <c r="E18" s="301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298"/>
      <c r="C19" s="299"/>
      <c r="D19" s="300"/>
      <c r="E19" s="301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298"/>
      <c r="C20" s="299"/>
      <c r="D20" s="300"/>
      <c r="E20" s="301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298"/>
      <c r="C21" s="299"/>
      <c r="D21" s="300"/>
      <c r="E21" s="301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298"/>
      <c r="C22" s="299"/>
      <c r="D22" s="300"/>
      <c r="E22" s="301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298"/>
      <c r="C23" s="299"/>
      <c r="D23" s="300"/>
      <c r="E23" s="301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298"/>
      <c r="C24" s="299"/>
      <c r="D24" s="300"/>
      <c r="E24" s="301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298"/>
      <c r="C25" s="299"/>
      <c r="D25" s="300"/>
      <c r="E25" s="301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298"/>
      <c r="C26" s="299"/>
      <c r="D26" s="300"/>
      <c r="E26" s="301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298"/>
      <c r="C27" s="299"/>
      <c r="D27" s="300"/>
      <c r="E27" s="301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298"/>
      <c r="C28" s="299"/>
      <c r="D28" s="300"/>
      <c r="E28" s="301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298"/>
      <c r="C29" s="299"/>
      <c r="D29" s="300" t="str">
        <f>IF(B29="","",VLOOKUP(B29,'BD Personal'!#REF!,2,FALSE))</f>
        <v/>
      </c>
      <c r="E29" s="301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298"/>
      <c r="C30" s="299"/>
      <c r="D30" s="300" t="str">
        <f>IF(B30="","",VLOOKUP(B30,'BD Personal'!#REF!,2,FALSE))</f>
        <v/>
      </c>
      <c r="E30" s="301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298"/>
      <c r="C31" s="299"/>
      <c r="D31" s="300" t="str">
        <f>IF(B31="","",VLOOKUP(B31,'BD Personal'!#REF!,2,FALSE))</f>
        <v/>
      </c>
      <c r="E31" s="301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298"/>
      <c r="C32" s="299"/>
      <c r="D32" s="300" t="str">
        <f>IF(B32="","",VLOOKUP(B32,'BD Personal'!#REF!,2,FALSE))</f>
        <v/>
      </c>
      <c r="E32" s="301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298"/>
      <c r="C33" s="299"/>
      <c r="D33" s="300" t="str">
        <f>IF(B33="","",VLOOKUP(B33,'BD Personal'!#REF!,2,FALSE))</f>
        <v/>
      </c>
      <c r="E33" s="301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298"/>
      <c r="C34" s="299"/>
      <c r="D34" s="300" t="str">
        <f>IF(B34="","",VLOOKUP(B34,'BD Personal'!#REF!,2,FALSE))</f>
        <v/>
      </c>
      <c r="E34" s="301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298"/>
      <c r="C35" s="299"/>
      <c r="D35" s="300" t="str">
        <f>IF(B35="","",VLOOKUP(B35,'BD Personal'!#REF!,2,FALSE))</f>
        <v/>
      </c>
      <c r="E35" s="301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298"/>
      <c r="C36" s="299"/>
      <c r="D36" s="300" t="str">
        <f>IF(B36="","",VLOOKUP(B36,'BD Personal'!#REF!,2,FALSE))</f>
        <v/>
      </c>
      <c r="E36" s="301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298"/>
      <c r="C37" s="299"/>
      <c r="D37" s="300" t="str">
        <f>IF(B37="","",VLOOKUP(B37,'BD Personal'!#REF!,2,FALSE))</f>
        <v/>
      </c>
      <c r="E37" s="301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298"/>
      <c r="C38" s="299"/>
      <c r="D38" s="300" t="str">
        <f>IF(B38="","",VLOOKUP(B38,'BD Personal'!#REF!,2,FALSE))</f>
        <v/>
      </c>
      <c r="E38" s="301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298"/>
      <c r="C39" s="299"/>
      <c r="D39" s="300" t="str">
        <f>IF(B39="","",VLOOKUP(B39,'BD Personal'!#REF!,2,FALSE))</f>
        <v/>
      </c>
      <c r="E39" s="301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298"/>
      <c r="C40" s="299"/>
      <c r="D40" s="300" t="str">
        <f>IF(B40="","",VLOOKUP(B40,'BD Personal'!#REF!,2,FALSE))</f>
        <v/>
      </c>
      <c r="E40" s="301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298"/>
      <c r="C41" s="299"/>
      <c r="D41" s="300" t="str">
        <f>IF(B41="","",VLOOKUP(B41,'BD Personal'!#REF!,2,FALSE))</f>
        <v/>
      </c>
      <c r="E41" s="301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298"/>
      <c r="C42" s="299"/>
      <c r="D42" s="300" t="str">
        <f>IF(B42="","",VLOOKUP(B42,'BD Personal'!#REF!,2,FALSE))</f>
        <v/>
      </c>
      <c r="E42" s="301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298"/>
      <c r="C43" s="299"/>
      <c r="D43" s="300" t="str">
        <f>IF(B43="","",VLOOKUP(B43,'BD Personal'!#REF!,2,FALSE))</f>
        <v/>
      </c>
      <c r="E43" s="301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298"/>
      <c r="C44" s="299"/>
      <c r="D44" s="300" t="str">
        <f>IF(B44="","",VLOOKUP(B44,'BD Personal'!#REF!,2,FALSE))</f>
        <v/>
      </c>
      <c r="E44" s="301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298"/>
      <c r="C45" s="299"/>
      <c r="D45" s="300" t="str">
        <f>IF(B45="","",VLOOKUP(B45,'BD Personal'!#REF!,2,FALSE))</f>
        <v/>
      </c>
      <c r="E45" s="301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298"/>
      <c r="C46" s="299"/>
      <c r="D46" s="300" t="str">
        <f>IF(B46="","",VLOOKUP(B46,'BD Personal'!#REF!,2,FALSE))</f>
        <v/>
      </c>
      <c r="E46" s="301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298"/>
      <c r="C47" s="299"/>
      <c r="D47" s="300" t="str">
        <f>IF(B47="","",VLOOKUP(B47,'BD Personal'!#REF!,2,FALSE))</f>
        <v/>
      </c>
      <c r="E47" s="301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298"/>
      <c r="C48" s="299"/>
      <c r="D48" s="300" t="str">
        <f>IF(B48="","",VLOOKUP(B48,'BD Personal'!#REF!,2,FALSE))</f>
        <v/>
      </c>
      <c r="E48" s="301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298"/>
      <c r="C49" s="299"/>
      <c r="D49" s="300" t="str">
        <f>IF(B49="","",VLOOKUP(B49,'BD Personal'!#REF!,2,FALSE))</f>
        <v/>
      </c>
      <c r="E49" s="301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27"/>
      <c r="C50" s="328"/>
      <c r="D50" s="329" t="str">
        <f>IF(B50="","",VLOOKUP(B50,'BD Personal'!#REF!,2,FALSE))</f>
        <v/>
      </c>
      <c r="E50" s="330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5"/>
      <c r="E1" s="335"/>
      <c r="F1" s="334" t="s">
        <v>68</v>
      </c>
      <c r="G1" s="334"/>
      <c r="H1" s="334"/>
      <c r="I1" s="334"/>
      <c r="J1" s="334"/>
      <c r="K1" s="334"/>
      <c r="L1" s="334"/>
      <c r="M1" s="334"/>
      <c r="N1" s="334"/>
      <c r="O1" s="334"/>
      <c r="P1" s="334"/>
      <c r="Q1" s="334"/>
      <c r="R1" s="334"/>
    </row>
    <row r="2" spans="1:18" ht="15" customHeight="1" x14ac:dyDescent="0.25">
      <c r="A2" s="24"/>
      <c r="B2" s="24"/>
      <c r="C2" s="24"/>
      <c r="D2" s="335"/>
      <c r="E2" s="335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</row>
    <row r="3" spans="1:18" ht="15" customHeight="1" x14ac:dyDescent="0.25">
      <c r="A3" s="24"/>
      <c r="B3" s="24"/>
      <c r="C3" s="24"/>
      <c r="D3" s="335"/>
      <c r="E3" s="335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</row>
    <row r="4" spans="1:18" ht="26.25" customHeight="1" x14ac:dyDescent="0.25">
      <c r="A4" s="24"/>
      <c r="B4" s="24"/>
      <c r="C4" s="24"/>
      <c r="D4" s="335"/>
      <c r="E4" s="335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  <c r="R4" s="334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288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/>
      <c r="B33" s="165"/>
      <c r="C33" s="166"/>
      <c r="D33" s="166"/>
      <c r="E33" s="166"/>
      <c r="F33" s="166"/>
      <c r="G33" s="166"/>
      <c r="H33" s="167"/>
      <c r="I33" s="166"/>
      <c r="J33" s="167"/>
      <c r="K33" s="166"/>
      <c r="L33" s="168"/>
      <c r="M33" s="169"/>
      <c r="N33" s="169"/>
      <c r="O33" s="169"/>
      <c r="P33" s="169"/>
      <c r="Q33" s="169"/>
      <c r="R33" s="169"/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2020-06-01T13:41:54Z</dcterms:modified>
</cp:coreProperties>
</file>